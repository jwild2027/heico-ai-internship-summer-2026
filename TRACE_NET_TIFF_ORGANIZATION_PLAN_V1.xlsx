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22025ea5846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0d561406f5c480f"/>
    <x:sheet xmlns:r="http://schemas.openxmlformats.org/officeDocument/2006/relationships" name="File Plan" sheetId="2" r:id="Re3ad2eec4b304493"/>
    <x:sheet xmlns:r="http://schemas.openxmlformats.org/officeDocument/2006/relationships" name="Folder Summary" sheetId="3" r:id="R1953ac989f084a54"/>
    <x:sheet xmlns:r="http://schemas.openxmlformats.org/officeDocument/2006/relationships" name="Area Summary" sheetId="4" r:id="R10ef0fda546f42b2"/>
    <x:sheet xmlns:r="http://schemas.openxmlformats.org/officeDocument/2006/relationships" name="Legacy Review" sheetId="5" r:id="R3859508c7e2e4da4"/>
    <x:sheet xmlns:r="http://schemas.openxmlformats.org/officeDocument/2006/relationships" name="Protected Runtime" sheetId="6" r:id="R163bff8989954aec"/>
    <x:sheet xmlns:r="http://schemas.openxmlformats.org/officeDocument/2006/relationships" name="Version Review" sheetId="7" r:id="Reecdecbffb2d4bbf"/>
    <x:sheet xmlns:r="http://schemas.openxmlformats.org/officeDocument/2006/relationships" name="Migration Order" sheetId="8" r:id="R97eb7eba90f2467f"/>
    <x:sheet xmlns:r="http://schemas.openxmlformats.org/officeDocument/2006/relationships" name="Read Me" sheetId="9" r:id="R58f49ef62c08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 &quot;bytes&quot;"/>
    <x:numFmt numFmtId="202" formatCode="0%"/>
    <x:numFmt numFmtId="203" formatCode="0"/>
    <x:numFmt numFmtId="204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6FBF3"/>
      </x:patternFill>
    </x:fill>
    <x:fill>
      <x:patternFill patternType="solid">
        <x:fgColor rgb="FF9C0006"/>
      </x:patternFill>
    </x:fill>
    <x:fill>
      <x:patternFill patternType="solid">
        <x:fgColor rgb="FFC65911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2" fillId="4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4" fontId="0" fillId="0" borderId="0" xfId="0" applyNumberFormat="1" applyFont="1" applyFill="1" applyBorder="1"/>
    <x:xf numFmtId="204" fontId="2" fillId="3" borderId="0" xfId="0" applyNumberFormat="1" applyFont="1" applyFill="1" applyBorder="1"/>
    <x:xf numFmtId="204" fontId="0" fillId="0" borderId="1" xfId="0" applyNumberFormat="1" applyFont="1" applyFill="1" applyBorder="1"/>
    <x:xf numFmtId="204" fontId="2" fillId="3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ill>
        <x:patternFill>
          <x:bgColor rgb="FFFCE8E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ceb8f3270b4aa2" /><Relationship Type="http://schemas.openxmlformats.org/officeDocument/2006/relationships/theme" Target="/xl/theme/theme1.xml" Id="R4fd0ce0c647347be" /><Relationship Type="http://schemas.microsoft.com/office/2022/11/relationships/FeaturePropertyBag" Target="/xl/featurePropertyBag/featurePropertyBag.xml" Id="R42365ba1d6aa47bb" /><Relationship Type="http://schemas.openxmlformats.org/officeDocument/2006/relationships/sharedStrings" Target="/xl/sharedStrings.xml" Id="R5ef2ec3512284982" /><Relationship Type="http://schemas.openxmlformats.org/officeDocument/2006/relationships/worksheet" Target="/xl/worksheets/sheet1.xml" Id="R60d561406f5c480f" /><Relationship Type="http://schemas.openxmlformats.org/officeDocument/2006/relationships/worksheet" Target="/xl/worksheets/sheet2.xml" Id="Re3ad2eec4b304493" /><Relationship Type="http://schemas.openxmlformats.org/officeDocument/2006/relationships/worksheet" Target="/xl/worksheets/sheet3.xml" Id="R1953ac989f084a54" /><Relationship Type="http://schemas.openxmlformats.org/officeDocument/2006/relationships/worksheet" Target="/xl/worksheets/sheet4.xml" Id="R10ef0fda546f42b2" /><Relationship Type="http://schemas.openxmlformats.org/officeDocument/2006/relationships/worksheet" Target="/xl/worksheets/sheet5.xml" Id="R3859508c7e2e4da4" /><Relationship Type="http://schemas.openxmlformats.org/officeDocument/2006/relationships/worksheet" Target="/xl/worksheets/sheet6.xml" Id="R163bff8989954aec" /><Relationship Type="http://schemas.openxmlformats.org/officeDocument/2006/relationships/worksheet" Target="/xl/worksheets/sheet7.xml" Id="Reecdecbffb2d4bbf" /><Relationship Type="http://schemas.openxmlformats.org/officeDocument/2006/relationships/worksheet" Target="/xl/worksheets/sheet8.xml" Id="R97eb7eba90f2467f" /><Relationship Type="http://schemas.openxmlformats.org/officeDocument/2006/relationships/worksheet" Target="/xl/worksheets/sheet9.xml" Id="R58f49ef62c0840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351ac550bf42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TIFF files by recommended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Files</c:v>
          </c:tx>
          <c:cat>
            <c:strRef>
              <c:f>'Dashboard'!$D$4:$D$22</c:f>
              <c:strCache>
                <c:ptCount val="0"/>
              </c:strCache>
            </c:strRef>
          </c:cat>
          <c:val>
            <c:numRef>
              <c:f>'Dashboard'!$E$4:$E$22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351ac550bf426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iffFilePlanTable" displayName="TiffFilePlanTable" ref="A1:AB563" headerRowCount="1">
  <x:tableColumns count="28">
    <x:tableColumn id="1" name="ID"/>
    <x:tableColumn id="2" name="Current Path"/>
    <x:tableColumn id="3" name="File Name"/>
    <x:tableColumn id="4" name="Inventory Primary Stage"/>
    <x:tableColumn id="5" name="Inventory Secondary Stages"/>
    <x:tableColumn id="6" name="Recommended Area"/>
    <x:tableColumn id="7" name="Recommended Folder"/>
    <x:tableColumn id="8" name="Final Path"/>
    <x:tableColumn id="9" name="Role"/>
    <x:tableColumn id="10" name="Action"/>
    <x:tableColumn id="11" name="Keep in Active Repo"/>
    <x:tableColumn id="12" name="Protected Entrypoint"/>
    <x:tableColumn id="13" name="Compatibility Wrapper Needed"/>
    <x:tableColumn id="14" name="Imported By Count"/>
    <x:tableColumn id="15" name="Code Reference Count"/>
    <x:tableColumn id="16" name="Known Callers / References"/>
    <x:tableColumn id="17" name="Confidence"/>
    <x:tableColumn id="18" name="Classification Basis"/>
    <x:tableColumn id="19" name="Reason"/>
    <x:tableColumn id="20" name="Migration Safety Note"/>
    <x:tableColumn id="21" name="Ports"/>
    <x:tableColumn id="22" name="Environment Variables"/>
    <x:tableColumn id="23" name="Newer Version Candidates"/>
    <x:tableColumn id="24" name="Size Bytes"/>
    <x:tableColumn id="25" name="Tracked"/>
    <x:tableColumn id="26" name="Review Status"/>
    <x:tableColumn id="27" name="GitHub Source"/>
    <x:tableColumn id="28" name="Inventory Evidence"/>
  </x:tableColumns>
  <x:tableStyleInfo name="TableStyleMedium2" showRowStripes="1"/>
</x:table>
</file>

<file path=xl/tables/table2.xml><?xml version="1.0" encoding="utf-8"?>
<x:table xmlns:x="http://schemas.openxmlformats.org/spreadsheetml/2006/main" id="2" name="TiffFolderSummaryTable" displayName="TiffFolderSummaryTable" ref="A1:H28" headerRowCount="1">
  <x:tableColumns count="8">
    <x:tableColumn id="1" name="Recommended Folder"/>
    <x:tableColumn id="2" name="File Count"/>
    <x:tableColumn id="3" name="Active Files"/>
    <x:tableColumn id="4" name="Legacy Files"/>
    <x:tableColumn id="5" name="Protected Files"/>
    <x:tableColumn id="6" name="Wrapper Files"/>
    <x:tableColumn id="7" name="Total Bytes"/>
    <x:tableColumn id="8" name="Example Files"/>
  </x:tableColumns>
  <x:tableStyleInfo name="TableStyleMedium2" showRowStripes="1"/>
</x:table>
</file>

<file path=xl/tables/table3.xml><?xml version="1.0" encoding="utf-8"?>
<x:table xmlns:x="http://schemas.openxmlformats.org/spreadsheetml/2006/main" id="3" name="TiffAreaSummaryTable" displayName="TiffAreaSummaryTable" ref="A1:E20" headerRowCount="1">
  <x:tableColumns count="5">
    <x:tableColumn id="1" name="Recommended Area"/>
    <x:tableColumn id="2" name="File Count"/>
    <x:tableColumn id="3" name="Percent"/>
    <x:tableColumn id="4" name="Protected"/>
    <x:tableColumn id="5" name="Legacy"/>
  </x:tableColumns>
  <x:tableStyleInfo name="TableStyleMedium2" showRowStripes="1"/>
</x:table>
</file>

<file path=xl/tables/table4.xml><?xml version="1.0" encoding="utf-8"?>
<x:table xmlns:x="http://schemas.openxmlformats.org/spreadsheetml/2006/main" id="4" name="TiffLegacyReviewTable" displayName="TiffLegacyReviewTable" ref="A1:I32" headerRowCount="1">
  <x:tableColumns count="9">
    <x:tableColumn id="1" name="Current Path"/>
    <x:tableColumn id="2" name="File Name"/>
    <x:tableColumn id="3" name="Recommended Folder"/>
    <x:tableColumn id="4" name="Final Path"/>
    <x:tableColumn id="5" name="Action"/>
    <x:tableColumn id="6" name="Confidence"/>
    <x:tableColumn id="7" name="Reason"/>
    <x:tableColumn id="8" name="Migration Safety Note"/>
    <x:tableColumn id="9" name="GitHub Source"/>
  </x:tableColumns>
  <x:tableStyleInfo name="TableStyleMedium2" showRowStripes="1"/>
</x:table>
</file>

<file path=xl/tables/table5.xml><?xml version="1.0" encoding="utf-8"?>
<x:table xmlns:x="http://schemas.openxmlformats.org/spreadsheetml/2006/main" id="5" name="TiffProtectedRuntimeTable" displayName="TiffProtectedRuntimeTable" ref="A1:L76" headerRowCount="1">
  <x:tableColumns count="12">
    <x:tableColumn id="1" name="Current Path"/>
    <x:tableColumn id="2" name="Recommended Area"/>
    <x:tableColumn id="3" name="Recommended Folder"/>
    <x:tableColumn id="4" name="Final Path"/>
    <x:tableColumn id="5" name="Role"/>
    <x:tableColumn id="6" name="Action"/>
    <x:tableColumn id="7" name="Imported By Count"/>
    <x:tableColumn id="8" name="Known Callers / References"/>
    <x:tableColumn id="9" name="Ports"/>
    <x:tableColumn id="10" name="Environment Variables"/>
    <x:tableColumn id="11" name="Migration Safety Note"/>
    <x:tableColumn id="12" name="GitHub Source"/>
  </x:tableColumns>
  <x:tableStyleInfo name="TableStyleMedium2" showRowStripes="1"/>
</x:table>
</file>

<file path=xl/tables/table6.xml><?xml version="1.0" encoding="utf-8"?>
<x:table xmlns:x="http://schemas.openxmlformats.org/spreadsheetml/2006/main" id="6" name="TiffVersionReviewTable" displayName="TiffVersionReviewTable" ref="A1:I12" headerRowCount="1">
  <x:tableColumns count="9">
    <x:tableColumn id="1" name="Current Path"/>
    <x:tableColumn id="2" name="Recommended Folder"/>
    <x:tableColumn id="3" name="Final Path"/>
    <x:tableColumn id="4" name="Imported By Count"/>
    <x:tableColumn id="5" name="Known Callers / References"/>
    <x:tableColumn id="6" name="Newer Version Candidates"/>
    <x:tableColumn id="7" name="Action"/>
    <x:tableColumn id="8" name="Migration Safety Note"/>
    <x:tableColumn id="9" name="GitHub Source"/>
  </x:tableColumns>
  <x:tableStyleInfo name="TableStyleMedium2" showRowStripes="1"/>
</x:table>
</file>

<file path=xl/tables/table7.xml><?xml version="1.0" encoding="utf-8"?>
<x:table xmlns:x="http://schemas.openxmlformats.org/spreadsheetml/2006/main" id="7" name="TiffMigrationOrderTable" displayName="TiffMigrationOrderTable" ref="A1:E11" headerRowCount="1">
  <x:tableColumns count="5">
    <x:tableColumn id="1" name="Phase"/>
    <x:tableColumn id="2" name="Name"/>
    <x:tableColumn id="3" name="Work"/>
    <x:tableColumn id="4" name="Required Check"/>
    <x:tableColumn id="5" name="Ris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68a840f1f741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cbe857b95646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ff29d63c1946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4246cdb9f44d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3c9b0506ca41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a860c6648c4f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b0c0e32a2846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8c7581fed6411b" /></Relationships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7" hidden="0" customWidth="1"/>
    <x:col min="4" max="4" width="25" hidden="0" customWidth="1"/>
    <x:col min="5" max="5" width="13" hidden="0" customWidth="1"/>
  </x:cols>
  <x:sheetData>
    <x:row r="1" ht="30" customHeight="1">
      <x:c r="A1" s="5" t="str">
        <x:v>TRACE-Net TIFF Organization Plan — Branch srv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Metric</x:v>
      </x:c>
      <x:c r="B3" s="12" t="str">
        <x:v>Value</x:v>
      </x:c>
      <x:c r="D3" s="12" t="str">
        <x:v>Recommended Area</x:v>
      </x:c>
      <x:c r="E3" s="12" t="str">
        <x:v>Files</x:v>
      </x:c>
    </x:row>
    <x:row r="4">
      <x:c r="A4" s="16" t="str">
        <x:v>Current tiff files</x:v>
      </x:c>
      <x:c r="B4" s="18" t="n">
        <x:f>COUNTA('File Plan'!A2:A563)</x:f>
        <x:v>562</x:v>
      </x:c>
      <x:c r="D4" t="str">
        <x:v>context</x:v>
      </x:c>
      <x:c r="E4" s="18" t="n">
        <x:f>COUNTIF('File Plan'!F$2:F$563,D4)</x:f>
        <x:v>25</x:v>
      </x:c>
    </x:row>
    <x:row r="5">
      <x:c r="A5" s="16" t="str">
        <x:v>Keep in active repo</x:v>
      </x:c>
      <x:c r="B5" s="18" t="n">
        <x:f>COUNTIF('File Plan'!F2:F563,"&lt;&gt;legacy")</x:f>
        <x:v>531</x:v>
      </x:c>
      <x:c r="D5" t="str">
        <x:v>core</x:v>
      </x:c>
      <x:c r="E5" s="18" t="n">
        <x:f>COUNTIF('File Plan'!F$2:F$563,D5)</x:f>
        <x:v>13</x:v>
      </x:c>
    </x:row>
    <x:row r="6">
      <x:c r="A6" s="16" t="str">
        <x:v>Legacy archive candidates</x:v>
      </x:c>
      <x:c r="B6" s="18" t="n">
        <x:f>COUNTIF('File Plan'!F2:F563,"legacy")</x:f>
        <x:v>31</x:v>
      </x:c>
      <x:c r="D6" t="str">
        <x:v>embeddings</x:v>
      </x:c>
      <x:c r="E6" s="18" t="n">
        <x:f>COUNTIF('File Plan'!F$2:F$563,D6)</x:f>
        <x:v>2</x:v>
      </x:c>
    </x:row>
    <x:row r="7">
      <x:c r="A7" s="16" t="str">
        <x:v>Protected runtime entrypoints</x:v>
      </x:c>
      <x:c r="B7" s="18" t="n">
        <x:f>COUNTIF('File Plan'!Z2:Z563,"Protected runtime")</x:f>
        <x:v>75</x:v>
      </x:c>
      <x:c r="D7" t="str">
        <x:v>engram</x:v>
      </x:c>
      <x:c r="E7" s="18" t="n">
        <x:f>COUNTIF('File Plan'!F$2:F$563,D7)</x:f>
        <x:v>19</x:v>
      </x:c>
    </x:row>
    <x:row r="8">
      <x:c r="A8" s="16" t="str">
        <x:v>Files needing compatibility wrappers</x:v>
      </x:c>
      <x:c r="B8" s="18" t="n">
        <x:f>COUNTIF('File Plan'!Z2:Z563,"Compatibility required")+COUNTIF('File Plan'!Z2:Z563,"Protected runtime")</x:f>
        <x:v>524</x:v>
      </x:c>
      <x:c r="D8" t="str">
        <x:v>feedback</x:v>
      </x:c>
      <x:c r="E8" s="18" t="n">
        <x:f>COUNTIF('File Plan'!F$2:F$563,D8)</x:f>
        <x:v>6</x:v>
      </x:c>
    </x:row>
    <x:row r="9">
      <x:c r="A9" s="16" t="str">
        <x:v>Straight moves</x:v>
      </x:c>
      <x:c r="B9" s="18" t="n">
        <x:f>COUNTIF('File Plan'!Z2:Z563,"Straight move")</x:f>
        <x:v>7</x:v>
      </x:c>
      <x:c r="D9" t="str">
        <x:v>graph</x:v>
      </x:c>
      <x:c r="E9" s="18" t="n">
        <x:f>COUNTIF('File Plan'!F$2:F$563,D9)</x:f>
        <x:v>43</x:v>
      </x:c>
    </x:row>
    <x:row r="10">
      <x:c r="A10" s="16" t="str">
        <x:v>Files with newer-version relatives</x:v>
      </x:c>
      <x:c r="B10" s="18" t="n">
        <x:f>COUNTA('Version Review'!A2:A12)</x:f>
        <x:v>11</x:v>
      </x:c>
      <x:c r="D10" t="str">
        <x:v>ingestion</x:v>
      </x:c>
      <x:c r="E10" s="18" t="n">
        <x:f>COUNTIF('File Plan'!F$2:F$563,D10)</x:f>
        <x:v>75</x:v>
      </x:c>
    </x:row>
    <x:row r="11">
      <x:c r="A11" s="16" t="str">
        <x:v>High-confidence decisions</x:v>
      </x:c>
      <x:c r="B11" s="18" t="n">
        <x:f>COUNTIF('File Plan'!Q2:Q563,"&gt;=0.95")</x:f>
        <x:v>553</x:v>
      </x:c>
      <x:c r="D11" t="str">
        <x:v>legacy</x:v>
      </x:c>
      <x:c r="E11" s="18" t="n">
        <x:f>COUNTIF('File Plan'!F$2:F$563,D11)</x:f>
        <x:v>31</x:v>
      </x:c>
    </x:row>
    <x:row r="12">
      <x:c r="A12" s="16" t="str">
        <x:v>Current tiff total size</x:v>
      </x:c>
      <x:c r="B12" s="20" t="n">
        <x:f>SUM('File Plan'!X2:X563)</x:f>
        <x:v>15715783</x:v>
      </x:c>
      <x:c r="D12" t="str">
        <x:v>ocr</x:v>
      </x:c>
      <x:c r="E12" s="18" t="n">
        <x:f>COUNTIF('File Plan'!F$2:F$563,D12)</x:f>
        <x:v>22</x:v>
      </x:c>
    </x:row>
    <x:row r="13">
      <x:c r="D13" t="str">
        <x:v>retrieval</x:v>
      </x:c>
      <x:c r="E13" s="18" t="n">
        <x:f>COUNTIF('File Plan'!F$2:F$563,D13)</x:f>
        <x:v>40</x:v>
      </x:c>
    </x:row>
    <x:row r="14">
      <x:c r="D14" t="str">
        <x:v>router</x:v>
      </x:c>
      <x:c r="E14" s="18" t="n">
        <x:f>COUNTIF('File Plan'!F$2:F$563,D14)</x:f>
        <x:v>19</x:v>
      </x:c>
    </x:row>
    <x:row r="15">
      <x:c r="A15" s="24" t="str">
        <x:v>Safety contract</x:v>
      </x:c>
      <x:c r="B15" s="24"/>
      <x:c r="C15" s="24"/>
      <x:c r="D15" s="24" t="str">
        <x:v>scripts/benchmark</x:v>
      </x:c>
      <x:c r="E15" s="25" t="n">
        <x:f>COUNTIF('File Plan'!F$2:F$563,D15)</x:f>
        <x:v>1</x:v>
      </x:c>
      <x:c r="F15" s="24"/>
      <x:c r="G15" s="24"/>
      <x:c r="H15" s="24"/>
    </x:row>
    <x:row r="16">
      <x:c r="A16" s="34" t="str">
        <x:v>Scope: all 562 tracked files currently under tiff/ in the supplied srv-branch inventory. This workbook is a move plan only. No file is deleted or moved. The 30 timestamped/pre-change backup files and the .keep marker are archive candidates. Active tiff imports stay functional through compatibility wrappers until imports, tests, launchers, and endpoint health checks pass.</x:v>
      </x:c>
      <x:c r="B16" s="34"/>
      <x:c r="C16" s="34"/>
      <x:c r="D16" s="34" t="str">
        <x:v>serving</x:v>
      </x:c>
      <x:c r="E16" s="35" t="n">
        <x:f>COUNTIF('File Plan'!F$2:F$563,D16)</x:f>
        <x:v>43</x:v>
      </x:c>
      <x:c r="F16" s="34"/>
      <x:c r="G16" s="34"/>
      <x:c r="H16" s="34"/>
    </x:row>
    <x:row r="17">
      <x:c r="A17" s="34"/>
      <x:c r="B17" s="34"/>
      <x:c r="C17" s="34"/>
      <x:c r="D17" s="34" t="str">
        <x:v>tables</x:v>
      </x:c>
      <x:c r="E17" s="35" t="n">
        <x:f>COUNTIF('File Plan'!F$2:F$563,D17)</x:f>
        <x:v>81</x:v>
      </x:c>
      <x:c r="F17" s="34"/>
      <x:c r="G17" s="34"/>
      <x:c r="H17" s="34"/>
    </x:row>
    <x:row r="18">
      <x:c r="A18" s="34"/>
      <x:c r="B18" s="34"/>
      <x:c r="C18" s="34"/>
      <x:c r="D18" s="34" t="str">
        <x:v>tests/integration</x:v>
      </x:c>
      <x:c r="E18" s="35" t="n">
        <x:f>COUNTIF('File Plan'!F$2:F$563,D18)</x:f>
        <x:v>2</x:v>
      </x:c>
      <x:c r="F18" s="34"/>
      <x:c r="G18" s="34"/>
      <x:c r="H18" s="34"/>
    </x:row>
    <x:row r="19">
      <x:c r="A19" s="34"/>
      <x:c r="B19" s="34"/>
      <x:c r="C19" s="34"/>
      <x:c r="D19" s="34" t="str">
        <x:v>tests/regression</x:v>
      </x:c>
      <x:c r="E19" s="35" t="n">
        <x:f>COUNTIF('File Plan'!F$2:F$563,D19)</x:f>
        <x:v>3</x:v>
      </x:c>
      <x:c r="F19" s="34"/>
      <x:c r="G19" s="34"/>
      <x:c r="H19" s="34"/>
    </x:row>
    <x:row r="20">
      <x:c r="A20" s="34"/>
      <x:c r="B20" s="34"/>
      <x:c r="C20" s="34"/>
      <x:c r="D20" s="34" t="str">
        <x:v>validation</x:v>
      </x:c>
      <x:c r="E20" s="35" t="n">
        <x:f>COUNTIF('File Plan'!F$2:F$563,D20)</x:f>
        <x:v>92</x:v>
      </x:c>
      <x:c r="F20" s="34"/>
      <x:c r="G20" s="34"/>
      <x:c r="H20" s="34"/>
    </x:row>
    <x:row r="21">
      <x:c r="A21" s="34"/>
      <x:c r="B21" s="34"/>
      <x:c r="C21" s="34"/>
      <x:c r="D21" s="34" t="str">
        <x:v>visual</x:v>
      </x:c>
      <x:c r="E21" s="35" t="n">
        <x:f>COUNTIF('File Plan'!F$2:F$563,D21)</x:f>
        <x:v>32</x:v>
      </x:c>
      <x:c r="F21" s="34"/>
      <x:c r="G21" s="34"/>
      <x:c r="H21" s="34"/>
    </x:row>
    <x:row r="22">
      <x:c r="A22" s="34"/>
      <x:c r="B22" s="34"/>
      <x:c r="C22" s="34"/>
      <x:c r="D22" s="34" t="str">
        <x:v>writing</x:v>
      </x:c>
      <x:c r="E22" s="35" t="n">
        <x:f>COUNTIF('File Plan'!F$2:F$563,D22)</x:f>
        <x:v>13</x:v>
      </x:c>
      <x:c r="F22" s="34"/>
      <x:c r="G22" s="34"/>
      <x:c r="H22" s="34"/>
    </x:row>
  </x:sheetData>
  <x:mergeCells>
    <x:mergeCell ref="A1:H1"/>
    <x:mergeCell ref="A15:H15"/>
    <x:mergeCell ref="A16:H22"/>
  </x:mergeCells>
  <x:pageMargins left="0.7" right="0.7" top="0.75" bottom="0.75" header="0.3" footer="0.3"/>
  <x:drawing xmlns:r="http://schemas.openxmlformats.org/officeDocument/2006/relationships" r:id="R1b68a840f1f741ad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3" hidden="0" customWidth="1"/>
    <x:col min="3" max="3" width="45" hidden="0" customWidth="1"/>
    <x:col min="4" max="4" width="22" hidden="0" customWidth="1"/>
    <x:col min="5" max="5" width="22" hidden="0" customWidth="1"/>
    <x:col min="6" max="6" width="19" hidden="0" customWidth="1"/>
    <x:col min="7" max="7" width="34" hidden="0" customWidth="1"/>
    <x:col min="8" max="8" width="62" hidden="0" customWidth="1"/>
    <x:col min="9" max="9" width="32" hidden="0" customWidth="1"/>
    <x:col min="10" max="10" width="43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14" hidden="0" customWidth="1"/>
    <x:col min="16" max="16" width="65" hidden="0" customWidth="1"/>
    <x:col min="17" max="17" width="12" hidden="0" customWidth="1"/>
    <x:col min="18" max="18" width="29" hidden="0" customWidth="1"/>
    <x:col min="19" max="19" width="62" hidden="0" customWidth="1"/>
    <x:col min="20" max="20" width="62" hidden="0" customWidth="1"/>
    <x:col min="21" max="21" width="12" hidden="0" customWidth="1"/>
    <x:col min="22" max="22" width="42" hidden="0" customWidth="1"/>
    <x:col min="23" max="23" width="42" hidden="0" customWidth="1"/>
    <x:col min="24" max="24" width="14" hidden="0" customWidth="1"/>
    <x:col min="25" max="25" width="11" hidden="0" customWidth="1"/>
    <x:col min="26" max="26" width="22" hidden="0" customWidth="1"/>
    <x:col min="27" max="27" width="65" hidden="0" customWidth="1"/>
    <x:col min="28" max="28" width="70" hidden="0" customWidth="1"/>
  </x:cols>
  <x:sheetData>
    <x:row r="1" ht="34" customHeight="1">
      <x:c r="A1" s="47" t="str">
        <x:v>ID</x:v>
      </x:c>
      <x:c r="B1" s="47" t="str">
        <x:v>Current Path</x:v>
      </x:c>
      <x:c r="C1" s="47" t="str">
        <x:v>File Name</x:v>
      </x:c>
      <x:c r="D1" s="47" t="str">
        <x:v>Inventory Primary Stage</x:v>
      </x:c>
      <x:c r="E1" s="47" t="str">
        <x:v>Inventory Secondary Stages</x:v>
      </x:c>
      <x:c r="F1" s="47" t="str">
        <x:v>Recommended Area</x:v>
      </x:c>
      <x:c r="G1" s="47" t="str">
        <x:v>Recommended Folder</x:v>
      </x:c>
      <x:c r="H1" s="47" t="str">
        <x:v>Final Path</x:v>
      </x:c>
      <x:c r="I1" s="47" t="str">
        <x:v>Role</x:v>
      </x:c>
      <x:c r="J1" s="47" t="str">
        <x:v>Action</x:v>
      </x:c>
      <x:c r="K1" s="47" t="str">
        <x:v>Keep in Active Repo</x:v>
      </x:c>
      <x:c r="L1" s="47" t="str">
        <x:v>Protected Entrypoint</x:v>
      </x:c>
      <x:c r="M1" s="47" t="str">
        <x:v>Compatibility Wrapper Needed</x:v>
      </x:c>
      <x:c r="N1" s="47" t="str">
        <x:v>Imported By Count</x:v>
      </x:c>
      <x:c r="O1" s="47" t="str">
        <x:v>Code Reference Count</x:v>
      </x:c>
      <x:c r="P1" s="47" t="str">
        <x:v>Known Callers / References</x:v>
      </x:c>
      <x:c r="Q1" s="47" t="str">
        <x:v>Confidence</x:v>
      </x:c>
      <x:c r="R1" s="47" t="str">
        <x:v>Classification Basis</x:v>
      </x:c>
      <x:c r="S1" s="47" t="str">
        <x:v>Reason</x:v>
      </x:c>
      <x:c r="T1" s="47" t="str">
        <x:v>Migration Safety Note</x:v>
      </x:c>
      <x:c r="U1" s="47" t="str">
        <x:v>Ports</x:v>
      </x:c>
      <x:c r="V1" s="47" t="str">
        <x:v>Environment Variables</x:v>
      </x:c>
      <x:c r="W1" s="47" t="str">
        <x:v>Newer Version Candidates</x:v>
      </x:c>
      <x:c r="X1" s="47" t="str">
        <x:v>Size Bytes</x:v>
      </x:c>
      <x:c r="Y1" s="47" t="str">
        <x:v>Tracked</x:v>
      </x:c>
      <x:c r="Z1" s="47" t="str">
        <x:v>Review Status</x:v>
      </x:c>
      <x:c r="AA1" s="47" t="str">
        <x:v>GitHub Source</x:v>
      </x:c>
      <x:c r="AB1" s="47" t="str">
        <x:v>Inventory Evidence</x:v>
      </x:c>
    </x:row>
    <x:row r="2">
      <x:c r="A2" s="68" t="n">
        <x:v>1</x:v>
      </x:c>
      <x:c r="B2" s="69" t="str">
        <x:v>tiff/.keep</x:v>
      </x:c>
      <x:c r="C2" s="69" t="str">
        <x:v>.keep</x:v>
      </x:c>
      <x:c r="D2" s="69" t="str">
        <x:v>ingestion</x:v>
      </x:c>
      <x:c r="E2" s="69" t="str"/>
      <x:c r="F2" s="69" t="str">
        <x:v>legacy</x:v>
      </x:c>
      <x:c r="G2" s="69" t="str">
        <x:v>legacy/tiff_package_markers/</x:v>
      </x:c>
      <x:c r="H2" s="69" t="str">
        <x:v>legacy/tiff_package_markers/.keep</x:v>
      </x:c>
      <x:c r="I2" s="69" t="str">
        <x:v>flat-package placeholder</x:v>
      </x:c>
      <x:c r="J2" s="69" t="str">
        <x:v>ARCHIVE_AFTER_TIFF_PACKAGE_MIGRATION</x:v>
      </x:c>
      <x:c r="K2" s="70" t="b">
        <x:v>0</x:v>
      </x:c>
      <x:c r="L2" s="70" t="b">
        <x:v>0</x:v>
      </x:c>
      <x:c r="M2" s="70" t="b">
        <x:v>0</x:v>
      </x:c>
      <x:c r="N2" s="69" t="n">
        <x:v>0</x:v>
      </x:c>
      <x:c r="O2" s="69" t="n">
        <x:v>0</x:v>
      </x:c>
      <x:c r="P2" s="69" t="str"/>
      <x:c r="Q2" s="71" t="n">
        <x:v>1</x:v>
      </x:c>
      <x:c r="R2" s="69" t="str">
        <x:v>package marker</x:v>
      </x:c>
      <x:c r="S2" s="69" t="str">
        <x:v>Placeholder is unnecessary once the flat tiff directory is replaced by organized packages.</x:v>
      </x:c>
      <x:c r="T2" s="69" t="str">
        <x:v>Keep until the final tiff compatibility package is verified.</x:v>
      </x:c>
      <x:c r="U2" s="69" t="str"/>
      <x:c r="V2" s="69" t="str"/>
      <x:c r="W2" s="69" t="str"/>
      <x:c r="X2" s="72" t="n">
        <x:v>0</x:v>
      </x:c>
      <x:c r="Y2" s="70" t="b">
        <x:v>1</x:v>
      </x:c>
      <x:c r="Z2" s="69" t="str">
        <x:v>Legacy archive</x:v>
      </x:c>
      <x:c r="AA2" s="69" t="str">
        <x:v>https://github.com/jwild2027/heico-ai-internship-summer-2026/blob/srv/tiff/.keep</x:v>
      </x:c>
      <x:c r="AB2" s="69" t="str">
        <x:v>ingestion &lt;= path:tiff; referenced_by_count=1</x:v>
      </x:c>
    </x:row>
    <x:row r="3">
      <x:c r="A3" s="68" t="n">
        <x:v>2</x:v>
      </x:c>
      <x:c r="B3" s="69" t="str">
        <x:v>tiff/__init__.py</x:v>
      </x:c>
      <x:c r="C3" s="69" t="str">
        <x:v>__init__.py</x:v>
      </x:c>
      <x:c r="D3" s="69" t="str">
        <x:v>benchmarks</x:v>
      </x:c>
      <x:c r="E3" s="69" t="str">
        <x:v>serving</x:v>
      </x:c>
      <x:c r="F3" s="69" t="str">
        <x:v>core</x:v>
      </x:c>
      <x:c r="G3" s="69" t="str">
        <x:v>src/trace_net/</x:v>
      </x:c>
      <x:c r="H3" s="69" t="str">
        <x:v>src/trace_net/__init__.py</x:v>
      </x:c>
      <x:c r="I3" s="69" t="str">
        <x:v>package compatibility marker</x:v>
      </x:c>
      <x:c r="J3" s="69" t="str">
        <x:v>CREATE_NEW_PACKAGE_INIT_KEEP_OLD_WRAPPER</x:v>
      </x:c>
      <x:c r="K3" s="70" t="b">
        <x:v>1</x:v>
      </x:c>
      <x:c r="L3" s="70" t="b">
        <x:v>0</x:v>
      </x:c>
      <x:c r="M3" s="70" t="b">
        <x:v>1</x:v>
      </x:c>
      <x:c r="N3" s="69" t="n">
        <x:v>49</x:v>
      </x:c>
      <x:c r="O3" s="69" t="n">
        <x:v>0</x:v>
      </x:c>
      <x:c r="P3" s="69" t="str">
        <x:v>scripts/build_trace_net_graph_explorer_v2_nomenclature_fix.py; scripts/build_trace_net_h39a_whole_page_vision_summary_llama_chat_v1.py; scripts/run_trace_net_router_followup_retrieval_benchmark_v1.py; tests/unit/test_tiff_streamlit_api_client.py; tests/unit/test_trace_net_answer_context_pack_v1.py; tests/unit/test_trace_net_ask_hybrid_flag_v1.py; tests/unit/test_trace_net_ask_hybrid_flag_v1_quality.py; tests/unit/test_trace_net_benchmark_gemma_telemetry_v1.py; tests/unit/test_trace_net_citation_answer_draft_v1.py; tests/unit/test_trace_net_citation_answer_draft_v1_quality.py; … +38 more</x:v>
      </x:c>
      <x:c r="Q3" s="71" t="n">
        <x:v>0.99</x:v>
      </x:c>
      <x:c r="R3" s="69" t="str">
        <x:v>package marker</x:v>
      </x:c>
      <x:c r="S3" s="69" t="str">
        <x:v>The current tiff package is imported broadly; the new trace_net package needs its own initializer.</x:v>
      </x:c>
      <x:c r="T3" s="69" t="str">
        <x:v>Do not remove tiff/__init__.py during migration. Convert it into a compatibility package.</x:v>
      </x:c>
      <x:c r="U3" s="69" t="str"/>
      <x:c r="V3" s="69" t="str"/>
      <x:c r="W3" s="69" t="str"/>
      <x:c r="X3" s="72" t="n">
        <x:v>0</x:v>
      </x:c>
      <x:c r="Y3" s="70" t="b">
        <x:v>1</x:v>
      </x:c>
      <x:c r="Z3" s="69" t="str">
        <x:v>Compatibility required</x:v>
      </x:c>
      <x:c r="AA3" s="69" t="str">
        <x:v>https://github.com/jwild2027/heico-ai-internship-summer-2026/blob/srv/tiff/__init__.py</x:v>
      </x:c>
      <x:c r="AB3" s="69" t="str">
        <x:v>ingestion &lt;= path:tiff; referenced_by_count=2; imported_by_count=49</x:v>
      </x:c>
    </x:row>
    <x:row r="4">
      <x:c r="A4" s="68" t="n">
        <x:v>3</x:v>
      </x:c>
      <x:c r="B4" s="69" t="str">
        <x:v>tiff/api_adapter_backend.py</x:v>
      </x:c>
      <x:c r="C4" s="69" t="str">
        <x:v>api_adapter_backend.py</x:v>
      </x:c>
      <x:c r="D4" s="69" t="str">
        <x:v>ingestion</x:v>
      </x:c>
      <x:c r="E4" s="69" t="str">
        <x:v>serving, feedback</x:v>
      </x:c>
      <x:c r="F4" s="69" t="str">
        <x:v>serving</x:v>
      </x:c>
      <x:c r="G4" s="69" t="str">
        <x:v>src/trace_net/serving/</x:v>
      </x:c>
      <x:c r="H4" s="69" t="str">
        <x:v>src/trace_net/serving/api_adapter_backend.py</x:v>
      </x:c>
      <x:c r="I4" s="69" t="str">
        <x:v>API adapter/service module</x:v>
      </x:c>
      <x:c r="J4" s="69" t="str">
        <x:v>MOVE_WITH_IMPORT_UPDATES_AND_COMPATIBILITY_WRAPPER</x:v>
      </x:c>
      <x:c r="K4" s="70" t="b">
        <x:v>1</x:v>
      </x:c>
      <x:c r="L4" s="70" t="b">
        <x:v>0</x:v>
      </x:c>
      <x:c r="M4" s="70" t="b">
        <x:v>1</x:v>
      </x:c>
      <x:c r="N4" s="69" t="n">
        <x:v>1</x:v>
      </x:c>
      <x:c r="O4" s="69" t="n">
        <x:v>0</x:v>
      </x:c>
      <x:c r="P4" s="69" t="str">
        <x:v>tests/unit/test_tiff_api_adapter_refactor.py</x:v>
      </x:c>
      <x:c r="Q4" s="71" t="n">
        <x:v>0.97</x:v>
      </x:c>
      <x:c r="R4" s="69" t="str">
        <x:v>serving/API naming</x:v>
      </x:c>
      <x:c r="S4" s="69" t="str">
        <x:v>API adapter/backend/service implementation belongs in the serving package.</x:v>
      </x:c>
      <x:c r="T4" s="69" t="str">
        <x:v>Preserve request/response contracts and add an old-path wrapper when referenced.</x:v>
      </x:c>
      <x:c r="U4" s="69" t="str"/>
      <x:c r="V4" s="69" t="str"/>
      <x:c r="W4" s="69" t="str"/>
      <x:c r="X4" s="72" t="n">
        <x:v>11076</x:v>
      </x:c>
      <x:c r="Y4" s="70" t="b">
        <x:v>1</x:v>
      </x:c>
      <x:c r="Z4" s="69" t="str">
        <x:v>Compatibility required</x:v>
      </x:c>
      <x:c r="AA4" s="69" t="str">
        <x:v>https://github.com/jwild2027/heico-ai-internship-summer-2026/blob/srv/tiff/api_adapter_backend.py</x:v>
      </x:c>
      <x:c r="AB4" s="69" t="str">
        <x:v>shared &lt;= string:helper; ingestion &lt;= path:tiff, symbol:extract_page, import:tiff, string:tiff; ocr &lt;= string:ocr; graph &lt;= string:graph; embeddings &lt;= string:qdrant; retrieval &lt;= string:opensearch</x:v>
      </x:c>
    </x:row>
    <x:row r="5">
      <x:c r="A5" s="68" t="n">
        <x:v>4</x:v>
      </x:c>
      <x:c r="B5" s="69" t="str">
        <x:v>tiff/api_adapter_quality.py</x:v>
      </x:c>
      <x:c r="C5" s="69" t="str">
        <x:v>api_adapter_quality.py</x:v>
      </x:c>
      <x:c r="D5" s="69" t="str">
        <x:v>serving</x:v>
      </x:c>
      <x:c r="E5" s="69" t="str">
        <x:v>ingestion</x:v>
      </x:c>
      <x:c r="F5" s="69" t="str">
        <x:v>validation</x:v>
      </x:c>
      <x:c r="G5" s="69" t="str">
        <x:v>src/trace_net/validation/</x:v>
      </x:c>
      <x:c r="H5" s="69" t="str">
        <x:v>src/trace_net/validation/api_adapter_quality.py</x:v>
      </x:c>
      <x:c r="I5" s="69" t="str">
        <x:v>quality validator module</x:v>
      </x:c>
      <x:c r="J5" s="69" t="str">
        <x:v>MOVE_WITH_IMPORT_UPDATES_AND_COMPATIBILITY_WRAPPER</x:v>
      </x:c>
      <x:c r="K5" s="70" t="b">
        <x:v>1</x:v>
      </x:c>
      <x:c r="L5" s="70" t="b">
        <x:v>0</x:v>
      </x:c>
      <x:c r="M5" s="70" t="b">
        <x:v>1</x:v>
      </x:c>
      <x:c r="N5" s="69" t="n">
        <x:v>4</x:v>
      </x:c>
      <x:c r="O5" s="69" t="n">
        <x:v>0</x:v>
      </x:c>
      <x:c r="P5" s="69" t="str">
        <x:v>scripts/check_api_adapter_quality.py; scripts/refresh_api_adapter_quality_summary.py; tests/unit/test_tiff_api_adapter_quality.py; tests/unit/test_tiff_api_adapter_quality_compat.py</x:v>
      </x:c>
      <x:c r="Q5" s="71" t="n">
        <x:v>0.97</x:v>
      </x:c>
      <x:c r="R5" s="69" t="str">
        <x:v>serving/API naming</x:v>
      </x:c>
      <x:c r="S5" s="69" t="str">
        <x:v>Quality logic is reusable source code for the serving stage.</x:v>
      </x:c>
      <x:c r="T5" s="69" t="str">
        <x:v>Update test and script imports; retain the old tiff import as a thin wrapper until PASS.</x:v>
      </x:c>
      <x:c r="U5" s="69" t="str"/>
      <x:c r="V5" s="69" t="str"/>
      <x:c r="W5" s="69" t="str"/>
      <x:c r="X5" s="72" t="n">
        <x:v>13634</x:v>
      </x:c>
      <x:c r="Y5" s="70" t="b">
        <x:v>1</x:v>
      </x:c>
      <x:c r="Z5" s="69" t="str">
        <x:v>Compatibility required</x:v>
      </x:c>
      <x:c r="AA5" s="69" t="str">
        <x:v>https://github.com/jwild2027/heico-ai-internship-summer-2026/blob/srv/tiff/api_adapter_quality.py</x:v>
      </x:c>
      <x:c r="AB5" s="69" t="str">
        <x:v>ingestion &lt;= path:tiff, string:tiff; tables &lt;= string:table; graph &lt;= string:graph; context &lt;= string:page_context; serving &lt;= path:api, symbol:api, import:sse, string:api, string:sse; referenced_by_count=1</x:v>
      </x:c>
    </x:row>
    <x:row r="6">
      <x:c r="A6" s="68" t="n">
        <x:v>5</x:v>
      </x:c>
      <x:c r="B6" s="69" t="str">
        <x:v>tiff/api_adapter_services.py</x:v>
      </x:c>
      <x:c r="C6" s="69" t="str">
        <x:v>api_adapter_services.py</x:v>
      </x:c>
      <x:c r="D6" s="69" t="str">
        <x:v>ingestion</x:v>
      </x:c>
      <x:c r="E6" s="69" t="str">
        <x:v>serving</x:v>
      </x:c>
      <x:c r="F6" s="69" t="str">
        <x:v>serving</x:v>
      </x:c>
      <x:c r="G6" s="69" t="str">
        <x:v>src/trace_net/serving/</x:v>
      </x:c>
      <x:c r="H6" s="69" t="str">
        <x:v>src/trace_net/serving/api_adapter_services.py</x:v>
      </x:c>
      <x:c r="I6" s="69" t="str">
        <x:v>API adapter/service module</x:v>
      </x:c>
      <x:c r="J6" s="69" t="str">
        <x:v>MOVE_WITH_IMPORT_UPDATES_AND_COMPATIBILITY_WRAPPER</x:v>
      </x:c>
      <x:c r="K6" s="70" t="b">
        <x:v>1</x:v>
      </x:c>
      <x:c r="L6" s="70" t="b">
        <x:v>0</x:v>
      </x:c>
      <x:c r="M6" s="70" t="b">
        <x:v>1</x:v>
      </x:c>
      <x:c r="N6" s="69" t="n">
        <x:v>3</x:v>
      </x:c>
      <x:c r="O6" s="69" t="n">
        <x:v>0</x:v>
      </x:c>
      <x:c r="P6" s="69" t="str">
        <x:v>apps/api/tiff_api.py; scripts/check_tiff_api_ready.py; tests/unit/test_tiff_api_adapter_services.py</x:v>
      </x:c>
      <x:c r="Q6" s="71" t="n">
        <x:v>0.97</x:v>
      </x:c>
      <x:c r="R6" s="69" t="str">
        <x:v>serving/API naming</x:v>
      </x:c>
      <x:c r="S6" s="69" t="str">
        <x:v>API adapter/backend/service implementation belongs in the serving package.</x:v>
      </x:c>
      <x:c r="T6" s="69" t="str">
        <x:v>Preserve request/response contracts and add an old-path wrapper when referenced.</x:v>
      </x:c>
      <x:c r="U6" s="69" t="str"/>
      <x:c r="V6" s="69" t="str"/>
      <x:c r="W6" s="69" t="str"/>
      <x:c r="X6" s="72" t="n">
        <x:v>13113</x:v>
      </x:c>
      <x:c r="Y6" s="70" t="b">
        <x:v>1</x:v>
      </x:c>
      <x:c r="Z6" s="69" t="str">
        <x:v>Compatibility required</x:v>
      </x:c>
      <x:c r="AA6" s="69" t="str">
        <x:v>https://github.com/jwild2027/heico-ai-internship-summer-2026/blob/srv/tiff/api_adapter_services.py</x:v>
      </x:c>
      <x:c r="AB6" s="69" t="str">
        <x:v>shared &lt;= string:contract; ingestion &lt;= path:tiff, symbol:tiff, import:tiff, string:tiff; graph &lt;= string:graph; embeddings &lt;= string:embedding, string:qdrant; retrieval &lt;= string:opensearch; context &lt;= string:page_context</x:v>
      </x:c>
    </x:row>
    <x:row r="7">
      <x:c r="A7" s="68" t="n">
        <x:v>6</x:v>
      </x:c>
      <x:c r="B7" s="69" t="str">
        <x:v>tiff/api_backend.py</x:v>
      </x:c>
      <x:c r="C7" s="69" t="str">
        <x:v>api_backend.py</x:v>
      </x:c>
      <x:c r="D7" s="69" t="str">
        <x:v>serving</x:v>
      </x:c>
      <x:c r="E7" s="69" t="str">
        <x:v>ingestion, graph, feedback</x:v>
      </x:c>
      <x:c r="F7" s="69" t="str">
        <x:v>serving</x:v>
      </x:c>
      <x:c r="G7" s="69" t="str">
        <x:v>src/trace_net/serving/</x:v>
      </x:c>
      <x:c r="H7" s="69" t="str">
        <x:v>src/trace_net/serving/api_backend.py</x:v>
      </x:c>
      <x:c r="I7" s="69" t="str">
        <x:v>API adapter/service module</x:v>
      </x:c>
      <x:c r="J7" s="69" t="str">
        <x:v>MOVE_WITH_IMPORT_UPDATES_AND_COMPATIBILITY_WRAPPER</x:v>
      </x:c>
      <x:c r="K7" s="70" t="b">
        <x:v>1</x:v>
      </x:c>
      <x:c r="L7" s="70" t="b">
        <x:v>0</x:v>
      </x:c>
      <x:c r="M7" s="70" t="b">
        <x:v>1</x:v>
      </x:c>
      <x:c r="N7" s="69" t="n">
        <x:v>1</x:v>
      </x:c>
      <x:c r="O7" s="69" t="n">
        <x:v>0</x:v>
      </x:c>
      <x:c r="P7" s="69" t="str">
        <x:v>tests/unit/test_tiff_api_backend.py</x:v>
      </x:c>
      <x:c r="Q7" s="71" t="n">
        <x:v>0.97</x:v>
      </x:c>
      <x:c r="R7" s="69" t="str">
        <x:v>serving/API naming</x:v>
      </x:c>
      <x:c r="S7" s="69" t="str">
        <x:v>API adapter/backend/service implementation belongs in the serving package.</x:v>
      </x:c>
      <x:c r="T7" s="69" t="str">
        <x:v>Preserve request/response contracts and add an old-path wrapper when referenced.</x:v>
      </x:c>
      <x:c r="U7" s="69" t="str"/>
      <x:c r="V7" s="69" t="str"/>
      <x:c r="W7" s="69" t="str"/>
      <x:c r="X7" s="72" t="n">
        <x:v>22216</x:v>
      </x:c>
      <x:c r="Y7" s="70" t="b">
        <x:v>1</x:v>
      </x:c>
      <x:c r="Z7" s="69" t="str">
        <x:v>Compatibility required</x:v>
      </x:c>
      <x:c r="AA7" s="69" t="str">
        <x:v>https://github.com/jwild2027/heico-ai-internship-summer-2026/blob/srv/tiff/api_backend.py</x:v>
      </x:c>
      <x:c r="AB7" s="69" t="str">
        <x:v>shared &lt;= string:contract, string:helper; ingestion &lt;= path:tiff, import:tiff, string:tiff; tables &lt;= string:table; graph &lt;= symbol:graph, import:graph, string:graph, string:has_context, string:has_nomenclature, string:mentions_part; embeddings &lt;= string:embedding, string:qdrant; retrieval &lt;= string:opensearch</x:v>
      </x:c>
    </x:row>
    <x:row r="8">
      <x:c r="A8" s="68" t="n">
        <x:v>7</x:v>
      </x:c>
      <x:c r="B8" s="69" t="str">
        <x:v>tiff/api_contract_quality.py</x:v>
      </x:c>
      <x:c r="C8" s="69" t="str">
        <x:v>api_contract_quality.py</x:v>
      </x:c>
      <x:c r="D8" s="69" t="str">
        <x:v>serving</x:v>
      </x:c>
      <x:c r="E8" s="69" t="str">
        <x:v>shared</x:v>
      </x:c>
      <x:c r="F8" s="69" t="str">
        <x:v>validation</x:v>
      </x:c>
      <x:c r="G8" s="69" t="str">
        <x:v>src/trace_net/validation/</x:v>
      </x:c>
      <x:c r="H8" s="69" t="str">
        <x:v>src/trace_net/validation/api_contract_quality.py</x:v>
      </x:c>
      <x:c r="I8" s="69" t="str">
        <x:v>quality validator module</x:v>
      </x:c>
      <x:c r="J8" s="69" t="str">
        <x:v>MOVE_WITH_IMPORT_UPDATES_AND_COMPATIBILITY_WRAPPER</x:v>
      </x:c>
      <x:c r="K8" s="70" t="b">
        <x:v>1</x:v>
      </x:c>
      <x:c r="L8" s="70" t="b">
        <x:v>0</x:v>
      </x:c>
      <x:c r="M8" s="70" t="b">
        <x:v>1</x:v>
      </x:c>
      <x:c r="N8" s="69" t="n">
        <x:v>3</x:v>
      </x:c>
      <x:c r="O8" s="69" t="n">
        <x:v>0</x:v>
      </x:c>
      <x:c r="P8" s="69" t="str">
        <x:v>scripts/check_api_contract_quality.py; scripts/refresh_api_contract_quality_summary.py; tests/unit/test_tiff_api_contract_quality.py</x:v>
      </x:c>
      <x:c r="Q8" s="71" t="n">
        <x:v>0.97</x:v>
      </x:c>
      <x:c r="R8" s="69" t="str">
        <x:v>serving/API naming</x:v>
      </x:c>
      <x:c r="S8" s="69" t="str">
        <x:v>Quality logic is reusable source code for the serving stage.</x:v>
      </x:c>
      <x:c r="T8" s="69" t="str">
        <x:v>Update test and script imports; retain the old tiff import as a thin wrapper until PASS.</x:v>
      </x:c>
      <x:c r="U8" s="69" t="str"/>
      <x:c r="V8" s="69" t="str"/>
      <x:c r="W8" s="69" t="str"/>
      <x:c r="X8" s="72" t="n">
        <x:v>9368</x:v>
      </x:c>
      <x:c r="Y8" s="70" t="b">
        <x:v>1</x:v>
      </x:c>
      <x:c r="Z8" s="69" t="str">
        <x:v>Compatibility required</x:v>
      </x:c>
      <x:c r="AA8" s="69" t="str">
        <x:v>https://github.com/jwild2027/heico-ai-internship-summer-2026/blob/srv/tiff/api_contract_quality.py</x:v>
      </x:c>
      <x:c r="AB8" s="69" t="str">
        <x:v>shared &lt;= path:contract, symbol:contract, string:contract, string:helper; ingestion &lt;= path:tiff; serving &lt;= path:api, symbol:api, symbol:sse, import:sse, string:api, string:endpoint, string:http, string:sse; feedback &lt;= string:feedback; benchmarks &lt;= symbol:eval; referenced_by_count=1</x:v>
      </x:c>
    </x:row>
    <x:row r="9">
      <x:c r="A9" s="68" t="n">
        <x:v>8</x:v>
      </x:c>
      <x:c r="B9" s="69" t="str">
        <x:v>tiff/api_contract_tests.py</x:v>
      </x:c>
      <x:c r="C9" s="69" t="str">
        <x:v>api_contract_tests.py</x:v>
      </x:c>
      <x:c r="D9" s="69" t="str">
        <x:v>serving</x:v>
      </x:c>
      <x:c r="E9" s="69" t="str">
        <x:v>shared, ingestion</x:v>
      </x:c>
      <x:c r="F9" s="69" t="str">
        <x:v>tests/integration</x:v>
      </x:c>
      <x:c r="G9" s="69" t="str">
        <x:v>tests/integration/</x:v>
      </x:c>
      <x:c r="H9" s="69" t="str">
        <x:v>tests/integration/api_contract_tests.py</x:v>
      </x:c>
      <x:c r="I9" s="69" t="str">
        <x:v>integration test</x:v>
      </x:c>
      <x:c r="J9" s="69" t="str">
        <x:v>MOVE_TO_TESTS_UPDATE_IMPORTS</x:v>
      </x:c>
      <x:c r="K9" s="70" t="b">
        <x:v>1</x:v>
      </x:c>
      <x:c r="L9" s="70" t="b">
        <x:v>1</x:v>
      </x:c>
      <x:c r="M9" s="70" t="b">
        <x:v>0</x:v>
      </x:c>
      <x:c r="N9" s="69" t="n">
        <x:v>2</x:v>
      </x:c>
      <x:c r="O9" s="69" t="n">
        <x:v>0</x:v>
      </x:c>
      <x:c r="P9" s="69" t="str">
        <x:v>scripts/run_api_contract_tests.py; tests/unit/test_tiff_api_contract_tests.py</x:v>
      </x:c>
      <x:c r="Q9" s="71" t="n">
        <x:v>0.99</x:v>
      </x:c>
      <x:c r="R9" s="69" t="str">
        <x:v>serving/API naming</x:v>
      </x:c>
      <x:c r="S9" s="69" t="str">
        <x:v>Explicit test module rather than production implementation.</x:v>
      </x:c>
      <x:c r="T9" s="69" t="str">
        <x:v>Run the moved test and update discovery/import paths.</x:v>
      </x:c>
      <x:c r="U9" s="69" t="str">
        <x:v>8000</x:v>
      </x:c>
      <x:c r="V9" s="69" t="str"/>
      <x:c r="W9" s="69" t="str"/>
      <x:c r="X9" s="72" t="n">
        <x:v>12133</x:v>
      </x:c>
      <x:c r="Y9" s="70" t="b">
        <x:v>1</x:v>
      </x:c>
      <x:c r="Z9" s="69" t="str">
        <x:v>Protected runtime</x:v>
      </x:c>
      <x:c r="AA9" s="69" t="str">
        <x:v>https://github.com/jwild2027/heico-ai-internship-summer-2026/blob/srv/tiff/api_contract_tests.py</x:v>
      </x:c>
      <x:c r="AB9" s="69" t="str">
        <x:v>shared &lt;= path:contract, symbol:contract, string:contract; ingestion &lt;= path:tiff, import:tiff, string:tiff; graph &lt;= string:graph, string:has_context; embeddings &lt;= string:qdrant; validation &lt;= string:quality_gate; serving &lt;= path:api, symbol:api, import:api, import:sse, string:api, string:endpoint, string:http, string:sse</x:v>
      </x:c>
    </x:row>
    <x:row r="10">
      <x:c r="A10" s="68" t="n">
        <x:v>9</x:v>
      </x:c>
      <x:c r="B10" s="69" t="str">
        <x:v>tiff/api_store_adapters.py</x:v>
      </x:c>
      <x:c r="C10" s="69" t="str">
        <x:v>api_store_adapters.py</x:v>
      </x:c>
      <x:c r="D10" s="69" t="str">
        <x:v>serving</x:v>
      </x:c>
      <x:c r="E10" s="69" t="str">
        <x:v>ingestion, feedback</x:v>
      </x:c>
      <x:c r="F10" s="69" t="str">
        <x:v>serving</x:v>
      </x:c>
      <x:c r="G10" s="69" t="str">
        <x:v>src/trace_net/serving/</x:v>
      </x:c>
      <x:c r="H10" s="69" t="str">
        <x:v>src/trace_net/serving/api_store_adapters.py</x:v>
      </x:c>
      <x:c r="I10" s="69" t="str">
        <x:v>API adapter/service module</x:v>
      </x:c>
      <x:c r="J10" s="69" t="str">
        <x:v>MOVE_TO_SOURCE_PACKAGE</x:v>
      </x:c>
      <x:c r="K10" s="70" t="b">
        <x:v>1</x:v>
      </x:c>
      <x:c r="L10" s="70" t="b">
        <x:v>0</x:v>
      </x:c>
      <x:c r="M10" s="70" t="b">
        <x:v>0</x:v>
      </x:c>
      <x:c r="N10" s="69" t="n">
        <x:v>0</x:v>
      </x:c>
      <x:c r="O10" s="69" t="n">
        <x:v>0</x:v>
      </x:c>
      <x:c r="P10" s="69" t="str"/>
      <x:c r="Q10" s="71" t="n">
        <x:v>0.97</x:v>
      </x:c>
      <x:c r="R10" s="69" t="str">
        <x:v>serving/API naming</x:v>
      </x:c>
      <x:c r="S10" s="69" t="str">
        <x:v>API adapter/backend/service implementation belongs in the serving package.</x:v>
      </x:c>
      <x:c r="T10" s="69" t="str">
        <x:v>Preserve request/response contracts and add an old-path wrapper when referenced.</x:v>
      </x:c>
      <x:c r="U10" s="69" t="str"/>
      <x:c r="V10" s="69" t="str"/>
      <x:c r="W10" s="69" t="str"/>
      <x:c r="X10" s="72" t="n">
        <x:v>15698</x:v>
      </x:c>
      <x:c r="Y10" s="70" t="b">
        <x:v>1</x:v>
      </x:c>
      <x:c r="Z10" s="69" t="str">
        <x:v>Straight move</x:v>
      </x:c>
      <x:c r="AA10" s="69" t="str">
        <x:v>https://github.com/jwild2027/heico-ai-internship-summer-2026/blob/srv/tiff/api_store_adapters.py</x:v>
      </x:c>
      <x:c r="AB10" s="69" t="str">
        <x:v>ingestion &lt;= path:tiff, string:tiff; ocr &lt;= string:ocr; graph &lt;= string:graph; embeddings &lt;= string:embedding, string:qdrant; retrieval &lt;= string:opensearch; validation &lt;= string:quality_gate</x:v>
      </x:c>
    </x:row>
    <x:row r="11">
      <x:c r="A11" s="68" t="n">
        <x:v>10</x:v>
      </x:c>
      <x:c r="B11" s="69" t="str">
        <x:v>tiff/changed_page_backend.py</x:v>
      </x:c>
      <x:c r="C11" s="69" t="str">
        <x:v>changed_page_backend.py</x:v>
      </x:c>
      <x:c r="D11" s="69" t="str">
        <x:v>ingestion</x:v>
      </x:c>
      <x:c r="E11" s="69" t="str">
        <x:v>tables</x:v>
      </x:c>
      <x:c r="F11" s="69" t="str">
        <x:v>ingestion</x:v>
      </x:c>
      <x:c r="G11" s="69" t="str">
        <x:v>src/trace_net/ingestion/</x:v>
      </x:c>
      <x:c r="H11" s="69" t="str">
        <x:v>src/trace_net/ingestion/changed_page_backend.py</x:v>
      </x:c>
      <x:c r="I11" s="69" t="str">
        <x:v>active library module</x:v>
      </x:c>
      <x:c r="J11" s="69" t="str">
        <x:v>MOVE_WITH_IMPORT_UPDATES_AND_COMPATIBILITY_WRAPPER</x:v>
      </x:c>
      <x:c r="K11" s="70" t="b">
        <x:v>1</x:v>
      </x:c>
      <x:c r="L11" s="70" t="b">
        <x:v>0</x:v>
      </x:c>
      <x:c r="M11" s="70" t="b">
        <x:v>1</x:v>
      </x:c>
      <x:c r="N11" s="69" t="n">
        <x:v>5</x:v>
      </x:c>
      <x:c r="O11" s="69" t="n">
        <x:v>0</x:v>
      </x:c>
      <x:c r="P11" s="69" t="str">
        <x:v>scripts/run_changed_page_backend_update.py; scripts/update_part_catalog_incremental.py; scripts/update_rag_chunks_incremental.py; scripts/update_tiff_search_index_incremental.py; tests/unit/test_tiff_changed_page_backend_update.py</x:v>
      </x:c>
      <x:c r="Q11" s="71" t="n">
        <x:v>0.95</x:v>
      </x:c>
      <x:c r="R11" s="69" t="str">
        <x:v>ingestion/classification naming</x:v>
      </x:c>
      <x:c r="S11" s="69" t="str">
        <x:v>Primary implementation belongs to the ingestion stage based on filename, imports, and inventory evidence.</x:v>
      </x:c>
      <x:c r="T11" s="69" t="str">
        <x:v>Update imports and retain the old tiff module as a wrapper when callers exist.</x:v>
      </x:c>
      <x:c r="U11" s="69" t="str"/>
      <x:c r="V11" s="69" t="str"/>
      <x:c r="W11" s="69" t="str"/>
      <x:c r="X11" s="72" t="n">
        <x:v>26091</x:v>
      </x:c>
      <x:c r="Y11" s="70" t="b">
        <x:v>1</x:v>
      </x:c>
      <x:c r="Z11" s="69" t="str">
        <x:v>Compatibility required</x:v>
      </x:c>
      <x:c r="AA11" s="69" t="str">
        <x:v>https://github.com/jwild2027/heico-ai-internship-summer-2026/blob/srv/tiff/changed_page_backend.py</x:v>
      </x:c>
      <x:c r="AB11" s="69" t="str">
        <x:v>shared &lt;= string:helper; ingestion &lt;= path:tiff, symbol:tiff, import:tiff, string:tiff; ocr &lt;= import:ocr, string:ocr; tables &lt;= symbol:column, symbol:table, string:table; embeddings &lt;= string:embedding; serving &lt;= import:sse, string:bridge</x:v>
      </x:c>
    </x:row>
    <x:row r="12">
      <x:c r="A12" s="68" t="n">
        <x:v>11</x:v>
      </x:c>
      <x:c r="B12" s="69" t="str">
        <x:v>tiff/changed_page_update.py</x:v>
      </x:c>
      <x:c r="C12" s="69" t="str">
        <x:v>changed_page_update.py</x:v>
      </x:c>
      <x:c r="D12" s="69" t="str">
        <x:v>ingestion</x:v>
      </x:c>
      <x:c r="E12" s="69" t="str"/>
      <x:c r="F12" s="69" t="str">
        <x:v>ingestion</x:v>
      </x:c>
      <x:c r="G12" s="69" t="str">
        <x:v>src/trace_net/ingestion/</x:v>
      </x:c>
      <x:c r="H12" s="69" t="str">
        <x:v>src/trace_net/ingestion/changed_page_update.py</x:v>
      </x:c>
      <x:c r="I12" s="69" t="str">
        <x:v>data/storage integration module</x:v>
      </x:c>
      <x:c r="J12" s="69" t="str">
        <x:v>MOVE_WITH_IMPORT_UPDATES_AND_COMPATIBILITY_WRAPPER</x:v>
      </x:c>
      <x:c r="K12" s="70" t="b">
        <x:v>1</x:v>
      </x:c>
      <x:c r="L12" s="70" t="b">
        <x:v>0</x:v>
      </x:c>
      <x:c r="M12" s="70" t="b">
        <x:v>1</x:v>
      </x:c>
      <x:c r="N12" s="69" t="n">
        <x:v>2</x:v>
      </x:c>
      <x:c r="O12" s="69" t="n">
        <x:v>1</x:v>
      </x:c>
      <x:c r="P12" s="69" t="str">
        <x:v>scripts/update_changed_page_backend.py; tests/unit/test_tiff_changed_page_update.py; tiff/incremental_readiness.py</x:v>
      </x:c>
      <x:c r="Q12" s="71" t="n">
        <x:v>0.95</x:v>
      </x:c>
      <x:c r="R12" s="69" t="str">
        <x:v>ingestion/classification naming</x:v>
      </x:c>
      <x:c r="S12" s="69" t="str">
        <x:v>Loader/writeback logic is imported by active scripts or tests.</x:v>
      </x:c>
      <x:c r="T12" s="69" t="str">
        <x:v>Preserve lineage, dry-run defaults, and source-truth mutation gates.</x:v>
      </x:c>
      <x:c r="U12" s="69" t="str"/>
      <x:c r="V12" s="69" t="str"/>
      <x:c r="W12" s="69" t="str"/>
      <x:c r="X12" s="72" t="n">
        <x:v>23458</x:v>
      </x:c>
      <x:c r="Y12" s="70" t="b">
        <x:v>1</x:v>
      </x:c>
      <x:c r="Z12" s="69" t="str">
        <x:v>Compatibility required</x:v>
      </x:c>
      <x:c r="AA12" s="69" t="str">
        <x:v>https://github.com/jwild2027/heico-ai-internship-summer-2026/blob/srv/tiff/changed_page_update.py</x:v>
      </x:c>
      <x:c r="AB12" s="69" t="str">
        <x:v>shared &lt;= string:helper; ingestion &lt;= path:tiff, import:tiff, string:tiff; ocr &lt;= import:ocr, string:ocr; embeddings &lt;= symbol:embedding, string:embedding; serving &lt;= import:sse; operations &lt;= import:cleanup</x:v>
      </x:c>
    </x:row>
    <x:row r="13">
      <x:c r="A13" s="68" t="n">
        <x:v>12</x:v>
      </x:c>
      <x:c r="B13" s="69" t="str">
        <x:v>tiff/document_batch_audit.py</x:v>
      </x:c>
      <x:c r="C13" s="69" t="str">
        <x:v>document_batch_audit.py</x:v>
      </x:c>
      <x:c r="D13" s="69" t="str">
        <x:v>ingestion</x:v>
      </x:c>
      <x:c r="E13" s="69" t="str"/>
      <x:c r="F13" s="69" t="str">
        <x:v>ingestion</x:v>
      </x:c>
      <x:c r="G13" s="69" t="str">
        <x:v>src/trace_net/ingestion/</x:v>
      </x:c>
      <x:c r="H13" s="69" t="str">
        <x:v>src/trace_net/ingestion/document_batch_audit.py</x:v>
      </x:c>
      <x:c r="I13" s="69" t="str">
        <x:v>active library module</x:v>
      </x:c>
      <x:c r="J13" s="69" t="str">
        <x:v>MOVE_WITH_IMPORT_UPDATES_AND_COMPATIBILITY_WRAPPER</x:v>
      </x:c>
      <x:c r="K13" s="70" t="b">
        <x:v>1</x:v>
      </x:c>
      <x:c r="L13" s="70" t="b">
        <x:v>0</x:v>
      </x:c>
      <x:c r="M13" s="70" t="b">
        <x:v>1</x:v>
      </x:c>
      <x:c r="N13" s="69" t="n">
        <x:v>2</x:v>
      </x:c>
      <x:c r="O13" s="69" t="n">
        <x:v>0</x:v>
      </x:c>
      <x:c r="P13" s="69" t="str">
        <x:v>scripts/audit_document_batch.py; tests/unit/test_tiff_document_batch_audit.py</x:v>
      </x:c>
      <x:c r="Q13" s="71" t="n">
        <x:v>0.95</x:v>
      </x:c>
      <x:c r="R13" s="69" t="str">
        <x:v>ingestion/classification naming</x:v>
      </x:c>
      <x:c r="S13" s="69" t="str">
        <x:v>Primary implementation belongs to the ingestion stage based on filename, imports, and inventory evidence.</x:v>
      </x:c>
      <x:c r="T13" s="69" t="str">
        <x:v>Update imports and retain the old tiff module as a wrapper when callers exist.</x:v>
      </x:c>
      <x:c r="U13" s="69" t="str"/>
      <x:c r="V13" s="69" t="str"/>
      <x:c r="W13" s="69" t="str"/>
      <x:c r="X13" s="72" t="n">
        <x:v>17188</x:v>
      </x:c>
      <x:c r="Y13" s="70" t="b">
        <x:v>1</x:v>
      </x:c>
      <x:c r="Z13" s="69" t="str">
        <x:v>Compatibility required</x:v>
      </x:c>
      <x:c r="AA13" s="69" t="str">
        <x:v>https://github.com/jwild2027/heico-ai-internship-summer-2026/blob/srv/tiff/document_batch_audit.py</x:v>
      </x:c>
      <x:c r="AB13" s="69" t="str">
        <x:v>shared &lt;= string:common, string:helper; ingestion &lt;= path:tiff, string:pdf, string:tiff; ocr &lt;= string:ocr; tables &lt;= string:ipl; serving &lt;= import:sse; referenced_by_count=3</x:v>
      </x:c>
    </x:row>
    <x:row r="14">
      <x:c r="A14" s="68" t="n">
        <x:v>13</x:v>
      </x:c>
      <x:c r="B14" s="69" t="str">
        <x:v>tiff/document_classifier.py</x:v>
      </x:c>
      <x:c r="C14" s="69" t="str">
        <x:v>document_classifier.py</x:v>
      </x:c>
      <x:c r="D14" s="69" t="str">
        <x:v>ingestion</x:v>
      </x:c>
      <x:c r="E14" s="69" t="str">
        <x:v>serving</x:v>
      </x:c>
      <x:c r="F14" s="69" t="str">
        <x:v>ingestion</x:v>
      </x:c>
      <x:c r="G14" s="69" t="str">
        <x:v>src/trace_net/ingestion/</x:v>
      </x:c>
      <x:c r="H14" s="69" t="str">
        <x:v>src/trace_net/ingestion/document_classifier.py</x:v>
      </x:c>
      <x:c r="I14" s="69" t="str">
        <x:v>active library module</x:v>
      </x:c>
      <x:c r="J14" s="69" t="str">
        <x:v>MOVE_WITH_IMPORT_UPDATES_AND_COMPATIBILITY_WRAPPER</x:v>
      </x:c>
      <x:c r="K14" s="70" t="b">
        <x:v>1</x:v>
      </x:c>
      <x:c r="L14" s="70" t="b">
        <x:v>0</x:v>
      </x:c>
      <x:c r="M14" s="70" t="b">
        <x:v>1</x:v>
      </x:c>
      <x:c r="N14" s="69" t="n">
        <x:v>3</x:v>
      </x:c>
      <x:c r="O14" s="69" t="n">
        <x:v>0</x:v>
      </x:c>
      <x:c r="P14" s="69" t="str">
        <x:v>tests/unit/test_tiff_document_classifier.py; tests/unit/test_tiff_manual_page_types.py; tiff/json_report.py</x:v>
      </x:c>
      <x:c r="Q14" s="71" t="n">
        <x:v>0.95</x:v>
      </x:c>
      <x:c r="R14" s="69" t="str">
        <x:v>ingestion/classification naming</x:v>
      </x:c>
      <x:c r="S14" s="69" t="str">
        <x:v>Primary implementation belongs to the ingestion stage based on filename, imports, and inventory evidence.</x:v>
      </x:c>
      <x:c r="T14" s="69" t="str">
        <x:v>Update imports and retain the old tiff module as a wrapper when callers exist.</x:v>
      </x:c>
      <x:c r="U14" s="69" t="str"/>
      <x:c r="V14" s="69" t="str"/>
      <x:c r="W14" s="69" t="str"/>
      <x:c r="X14" s="72" t="n">
        <x:v>4594</x:v>
      </x:c>
      <x:c r="Y14" s="70" t="b">
        <x:v>1</x:v>
      </x:c>
      <x:c r="Z14" s="69" t="str">
        <x:v>Compatibility required</x:v>
      </x:c>
      <x:c r="AA14" s="69" t="str">
        <x:v>https://github.com/jwild2027/heico-ai-internship-summer-2026/blob/srv/tiff/document_classifier.py</x:v>
      </x:c>
      <x:c r="AB14" s="69" t="str">
        <x:v>ingestion &lt;= path:tiff, string:tiff; ocr &lt;= string:ocr; visual &lt;= string:vision; serving &lt;= import:sse; referenced_by_count=2; imported_by_count=3</x:v>
      </x:c>
    </x:row>
    <x:row r="15">
      <x:c r="A15" s="68" t="n">
        <x:v>14</x:v>
      </x:c>
      <x:c r="B15" s="69" t="str">
        <x:v>tiff/document_graph_quality.py</x:v>
      </x:c>
      <x:c r="C15" s="69" t="str">
        <x:v>document_graph_quality.py</x:v>
      </x:c>
      <x:c r="D15" s="69" t="str">
        <x:v>graph</x:v>
      </x:c>
      <x:c r="E15" s="69" t="str">
        <x:v>ingestion</x:v>
      </x:c>
      <x:c r="F15" s="69" t="str">
        <x:v>graph</x:v>
      </x:c>
      <x:c r="G15" s="69" t="str">
        <x:v>src/trace_net/graph/quality/</x:v>
      </x:c>
      <x:c r="H15" s="69" t="str">
        <x:v>src/trace_net/graph/quality/document_graph_quality.py</x:v>
      </x:c>
      <x:c r="I15" s="69" t="str">
        <x:v>quality validator module</x:v>
      </x:c>
      <x:c r="J15" s="69" t="str">
        <x:v>MOVE_WITH_IMPORT_UPDATES_AND_COMPATIBILITY_WRAPPER</x:v>
      </x:c>
      <x:c r="K15" s="70" t="b">
        <x:v>1</x:v>
      </x:c>
      <x:c r="L15" s="70" t="b">
        <x:v>0</x:v>
      </x:c>
      <x:c r="M15" s="70" t="b">
        <x:v>1</x:v>
      </x:c>
      <x:c r="N15" s="69" t="n">
        <x:v>6</x:v>
      </x:c>
      <x:c r="O15" s="69" t="n">
        <x:v>0</x:v>
      </x:c>
      <x:c r="P15" s="69" t="str">
        <x:v>scripts/check_document_graph_quality.py; scripts/refresh_graph_quality_summary.py; tests/unit/test_tiff_document_graph_quality.py; tests/unit/test_tiff_realistic_query_trace_quality.py; tests/unit/test_tiff_realistic_query_trace_quality_gate.py; tiff/pipeline_quality.py</x:v>
      </x:c>
      <x:c r="Q15" s="71" t="n">
        <x:v>0.97</x:v>
      </x:c>
      <x:c r="R15" s="69" t="str">
        <x:v>graph/Leiden/Postgres naming</x:v>
      </x:c>
      <x:c r="S15" s="69" t="str">
        <x:v>Quality logic is reusable source code for the graph stage.</x:v>
      </x:c>
      <x:c r="T15" s="69" t="str">
        <x:v>Update test and script imports; retain the old tiff import as a thin wrapper until PASS.</x:v>
      </x:c>
      <x:c r="U15" s="69" t="str"/>
      <x:c r="V15" s="69" t="str"/>
      <x:c r="W15" s="69" t="str"/>
      <x:c r="X15" s="72" t="n">
        <x:v>24751</x:v>
      </x:c>
      <x:c r="Y15" s="70" t="b">
        <x:v>1</x:v>
      </x:c>
      <x:c r="Z15" s="69" t="str">
        <x:v>Compatibility required</x:v>
      </x:c>
      <x:c r="AA15" s="69" t="str">
        <x:v>https://github.com/jwild2027/heico-ai-internship-summer-2026/blob/srv/tiff/document_graph_quality.py</x:v>
      </x:c>
      <x:c r="AB15" s="69" t="str">
        <x:v>ingestion &lt;= path:tiff; ocr &lt;= string:ocr; graph &lt;= path:graph, symbol:graph, string:graph, string:has_context; embeddings &lt;= string:qdrant; context &lt;= string:page_context; serving &lt;= import:sse</x:v>
      </x:c>
    </x:row>
    <x:row r="16">
      <x:c r="A16" s="68" t="n">
        <x:v>15</x:v>
      </x:c>
      <x:c r="B16" s="69" t="str">
        <x:v>tiff/document_graph_traceability.py</x:v>
      </x:c>
      <x:c r="C16" s="69" t="str">
        <x:v>document_graph_traceability.py</x:v>
      </x:c>
      <x:c r="D16" s="69" t="str">
        <x:v>graph</x:v>
      </x:c>
      <x:c r="E16" s="69" t="str">
        <x:v>ingestion</x:v>
      </x:c>
      <x:c r="F16" s="69" t="str">
        <x:v>graph</x:v>
      </x:c>
      <x:c r="G16" s="69" t="str">
        <x:v>src/trace_net/graph/</x:v>
      </x:c>
      <x:c r="H16" s="69" t="str">
        <x:v>src/trace_net/graph/document_graph_traceability.py</x:v>
      </x:c>
      <x:c r="I16" s="69" t="str">
        <x:v>active library module</x:v>
      </x:c>
      <x:c r="J16" s="69" t="str">
        <x:v>MOVE_WITH_IMPORT_UPDATES_AND_COMPATIBILITY_WRAPPER</x:v>
      </x:c>
      <x:c r="K16" s="70" t="b">
        <x:v>1</x:v>
      </x:c>
      <x:c r="L16" s="70" t="b">
        <x:v>0</x:v>
      </x:c>
      <x:c r="M16" s="70" t="b">
        <x:v>1</x:v>
      </x:c>
      <x:c r="N16" s="69" t="n">
        <x:v>4</x:v>
      </x:c>
      <x:c r="O16" s="69" t="n">
        <x:v>0</x:v>
      </x:c>
      <x:c r="P16" s="69" t="str">
        <x:v>scripts/trace_document_graph.py; tests/unit/test_tiff_document_graph_traceability.py; tiff/api_backend.py; tiff/storage_adapters.py</x:v>
      </x:c>
      <x:c r="Q16" s="71" t="n">
        <x:v>0.95</x:v>
      </x:c>
      <x:c r="R16" s="69" t="str">
        <x:v>graph/Leiden/Postgres naming</x:v>
      </x:c>
      <x:c r="S16" s="69" t="str">
        <x:v>Primary implementation belongs to the graph stage based on filename, imports, and inventory evidence.</x:v>
      </x:c>
      <x:c r="T16" s="69" t="str">
        <x:v>Update imports and retain the old tiff module as a wrapper when callers exist.</x:v>
      </x:c>
      <x:c r="U16" s="69" t="str"/>
      <x:c r="V16" s="69" t="str"/>
      <x:c r="W16" s="69" t="str"/>
      <x:c r="X16" s="72" t="n">
        <x:v>21010</x:v>
      </x:c>
      <x:c r="Y16" s="70" t="b">
        <x:v>1</x:v>
      </x:c>
      <x:c r="Z16" s="69" t="str">
        <x:v>Compatibility required</x:v>
      </x:c>
      <x:c r="AA16" s="69" t="str">
        <x:v>https://github.com/jwild2027/heico-ai-internship-summer-2026/blob/srv/tiff/document_graph_traceability.py</x:v>
      </x:c>
      <x:c r="AB16" s="69" t="str">
        <x:v>shared &lt;= string:helper; ingestion &lt;= path:tiff, import:tiff; graph &lt;= path:graph, symbol:graph, import:graph, string:graph, string:has_context, string:has_nomenclature, string:mentions_part; embeddings &lt;= string:qdrant; context &lt;= symbol:page_context, string:page_context; serving &lt;= import:sse</x:v>
      </x:c>
    </x:row>
    <x:row r="17">
      <x:c r="A17" s="68" t="n">
        <x:v>16</x:v>
      </x:c>
      <x:c r="B17" s="69" t="str">
        <x:v>tiff/document_graph_traversal.py</x:v>
      </x:c>
      <x:c r="C17" s="69" t="str">
        <x:v>document_graph_traversal.py</x:v>
      </x:c>
      <x:c r="D17" s="69" t="str">
        <x:v>graph</x:v>
      </x:c>
      <x:c r="E17" s="69" t="str">
        <x:v>ingestion</x:v>
      </x:c>
      <x:c r="F17" s="69" t="str">
        <x:v>graph</x:v>
      </x:c>
      <x:c r="G17" s="69" t="str">
        <x:v>src/trace_net/graph/</x:v>
      </x:c>
      <x:c r="H17" s="69" t="str">
        <x:v>src/trace_net/graph/document_graph_traversal.py</x:v>
      </x:c>
      <x:c r="I17" s="69" t="str">
        <x:v>active library module</x:v>
      </x:c>
      <x:c r="J17" s="69" t="str">
        <x:v>MOVE_WITH_IMPORT_UPDATES_AND_COMPATIBILITY_WRAPPER</x:v>
      </x:c>
      <x:c r="K17" s="70" t="b">
        <x:v>1</x:v>
      </x:c>
      <x:c r="L17" s="70" t="b">
        <x:v>0</x:v>
      </x:c>
      <x:c r="M17" s="70" t="b">
        <x:v>1</x:v>
      </x:c>
      <x:c r="N17" s="69" t="n">
        <x:v>5</x:v>
      </x:c>
      <x:c r="O17" s="69" t="n">
        <x:v>0</x:v>
      </x:c>
      <x:c r="P17" s="69" t="str">
        <x:v>scripts/test_document_graph_traversal.py; tests/unit/test_tiff_document_graph_traceability.py; tests/unit/test_tiff_document_graph_traversal.py; tiff/api_backend.py; tiff/document_graph_traceability.py</x:v>
      </x:c>
      <x:c r="Q17" s="71" t="n">
        <x:v>0.95</x:v>
      </x:c>
      <x:c r="R17" s="69" t="str">
        <x:v>graph/Leiden/Postgres naming</x:v>
      </x:c>
      <x:c r="S17" s="69" t="str">
        <x:v>Primary implementation belongs to the graph stage based on filename, imports, and inventory evidence.</x:v>
      </x:c>
      <x:c r="T17" s="69" t="str">
        <x:v>Update imports and retain the old tiff module as a wrapper when callers exist.</x:v>
      </x:c>
      <x:c r="U17" s="69" t="str"/>
      <x:c r="V17" s="69" t="str"/>
      <x:c r="W17" s="69" t="str"/>
      <x:c r="X17" s="72" t="n">
        <x:v>29766</x:v>
      </x:c>
      <x:c r="Y17" s="70" t="b">
        <x:v>1</x:v>
      </x:c>
      <x:c r="Z17" s="69" t="str">
        <x:v>Compatibility required</x:v>
      </x:c>
      <x:c r="AA17" s="69" t="str">
        <x:v>https://github.com/jwild2027/heico-ai-internship-summer-2026/blob/srv/tiff/document_graph_traversal.py</x:v>
      </x:c>
      <x:c r="AB17" s="69" t="str">
        <x:v>shared &lt;= string:common, string:helper, string:source_id; ingestion &lt;= path:tiff; visual &lt;= string:vision; graph &lt;= path:graph, symbol:graph, string:graph, string:has_context, string:has_nomenclature, string:mentions_part; context &lt;= string:page_context; serving &lt;= import:sse</x:v>
      </x:c>
    </x:row>
    <x:row r="18">
      <x:c r="A18" s="68" t="n">
        <x:v>17</x:v>
      </x:c>
      <x:c r="B18" s="69" t="str">
        <x:v>tiff/document_organization_audit.py</x:v>
      </x:c>
      <x:c r="C18" s="69" t="str">
        <x:v>document_organization_audit.py</x:v>
      </x:c>
      <x:c r="D18" s="69" t="str">
        <x:v>ingestion</x:v>
      </x:c>
      <x:c r="E18" s="69" t="str">
        <x:v>tables, ocr, serving</x:v>
      </x:c>
      <x:c r="F18" s="69" t="str">
        <x:v>ingestion</x:v>
      </x:c>
      <x:c r="G18" s="69" t="str">
        <x:v>src/trace_net/ingestion/</x:v>
      </x:c>
      <x:c r="H18" s="69" t="str">
        <x:v>src/trace_net/ingestion/document_organization_audit.py</x:v>
      </x:c>
      <x:c r="I18" s="69" t="str">
        <x:v>active library module</x:v>
      </x:c>
      <x:c r="J18" s="69" t="str">
        <x:v>MOVE_WITH_IMPORT_UPDATES_AND_COMPATIBILITY_WRAPPER</x:v>
      </x:c>
      <x:c r="K18" s="70" t="b">
        <x:v>1</x:v>
      </x:c>
      <x:c r="L18" s="70" t="b">
        <x:v>0</x:v>
      </x:c>
      <x:c r="M18" s="70" t="b">
        <x:v>1</x:v>
      </x:c>
      <x:c r="N18" s="69" t="n">
        <x:v>3</x:v>
      </x:c>
      <x:c r="O18" s="69" t="n">
        <x:v>0</x:v>
      </x:c>
      <x:c r="P18" s="69" t="str">
        <x:v>scripts/audit_document_organization.py; tests/unit/test_tiff_document_organization_audit.py; tiff/document_organization_export.py</x:v>
      </x:c>
      <x:c r="Q18" s="71" t="n">
        <x:v>0.95</x:v>
      </x:c>
      <x:c r="R18" s="69" t="str">
        <x:v>ingestion/classification naming</x:v>
      </x:c>
      <x:c r="S18" s="69" t="str">
        <x:v>Primary implementation belongs to the ingestion stage based on filename, imports, and inventory evidence.</x:v>
      </x:c>
      <x:c r="T18" s="69" t="str">
        <x:v>Update imports and retain the old tiff module as a wrapper when callers exist.</x:v>
      </x:c>
      <x:c r="U18" s="69" t="str"/>
      <x:c r="V18" s="69" t="str"/>
      <x:c r="W18" s="69" t="str"/>
      <x:c r="X18" s="72" t="n">
        <x:v>21874</x:v>
      </x:c>
      <x:c r="Y18" s="70" t="b">
        <x:v>1</x:v>
      </x:c>
      <x:c r="Z18" s="69" t="str">
        <x:v>Compatibility required</x:v>
      </x:c>
      <x:c r="AA18" s="69" t="str">
        <x:v>https://github.com/jwild2027/heico-ai-internship-summer-2026/blob/srv/tiff/document_organization_audit.py</x:v>
      </x:c>
      <x:c r="AB18" s="69" t="str">
        <x:v>shared &lt;= string:schema; ingestion &lt;= path:tiff, string:tiff; ocr &lt;= symbol:ocr, string:ocr; tables &lt;= symbol:column, symbol:table, string:table; validation &lt;= string:fallback; serving &lt;= import:sse, string:sse</x:v>
      </x:c>
    </x:row>
    <x:row r="19">
      <x:c r="A19" s="68" t="n">
        <x:v>18</x:v>
      </x:c>
      <x:c r="B19" s="69" t="str">
        <x:v>tiff/document_organization_export.py</x:v>
      </x:c>
      <x:c r="C19" s="69" t="str">
        <x:v>document_organization_export.py</x:v>
      </x:c>
      <x:c r="D19" s="69" t="str">
        <x:v>ingestion</x:v>
      </x:c>
      <x:c r="E19" s="69" t="str">
        <x:v>tables, serving</x:v>
      </x:c>
      <x:c r="F19" s="69" t="str">
        <x:v>ingestion</x:v>
      </x:c>
      <x:c r="G19" s="69" t="str">
        <x:v>src/trace_net/ingestion/</x:v>
      </x:c>
      <x:c r="H19" s="69" t="str">
        <x:v>src/trace_net/ingestion/document_organization_export.py</x:v>
      </x:c>
      <x:c r="I19" s="69" t="str">
        <x:v>artifact builder implementation</x:v>
      </x:c>
      <x:c r="J19" s="69" t="str">
        <x:v>MOVE_WITH_IMPORT_UPDATES_AND_COMPATIBILITY_WRAPPER</x:v>
      </x:c>
      <x:c r="K19" s="70" t="b">
        <x:v>1</x:v>
      </x:c>
      <x:c r="L19" s="70" t="b">
        <x:v>0</x:v>
      </x:c>
      <x:c r="M19" s="70" t="b">
        <x:v>1</x:v>
      </x:c>
      <x:c r="N19" s="69" t="n">
        <x:v>2</x:v>
      </x:c>
      <x:c r="O19" s="69" t="n">
        <x:v>0</x:v>
      </x:c>
      <x:c r="P19" s="69" t="str">
        <x:v>scripts/export_document_organization.py; tests/unit/test_tiff_document_organization_export.py</x:v>
      </x:c>
      <x:c r="Q19" s="71" t="n">
        <x:v>0.96</x:v>
      </x:c>
      <x:c r="R19" s="69" t="str">
        <x:v>ingestion/classification naming</x:v>
      </x:c>
      <x:c r="S19" s="69" t="str">
        <x:v>Build implementation is imported by active wrappers/tests and belongs to the ingestion package.</x:v>
      </x:c>
      <x:c r="T19" s="69" t="str">
        <x:v>Update wrapper imports and compare generated artifact counts/checksums.</x:v>
      </x:c>
      <x:c r="U19" s="69" t="str"/>
      <x:c r="V19" s="69" t="str"/>
      <x:c r="W19" s="69" t="str"/>
      <x:c r="X19" s="72" t="n">
        <x:v>21726</x:v>
      </x:c>
      <x:c r="Y19" s="70" t="b">
        <x:v>1</x:v>
      </x:c>
      <x:c r="Z19" s="69" t="str">
        <x:v>Compatibility required</x:v>
      </x:c>
      <x:c r="AA19" s="69" t="str">
        <x:v>https://github.com/jwild2027/heico-ai-internship-summer-2026/blob/srv/tiff/document_organization_export.py</x:v>
      </x:c>
      <x:c r="AB19" s="69" t="str">
        <x:v>ingestion &lt;= path:tiff, symbol:tiff, import:tiff, string:tiff; ocr &lt;= symbol:ocr, string:ocr; tables &lt;= symbol:column, symbol:table, string:table; serving &lt;= import:sse, string:api, string:sse; referenced_by_count=2; imported_by_count=2</x:v>
      </x:c>
    </x:row>
    <x:row r="20">
      <x:c r="A20" s="68" t="n">
        <x:v>19</x:v>
      </x:c>
      <x:c r="B20" s="69" t="str">
        <x:v>tiff/document_organization_graph.py</x:v>
      </x:c>
      <x:c r="C20" s="69" t="str">
        <x:v>document_organization_graph.py</x:v>
      </x:c>
      <x:c r="D20" s="69" t="str">
        <x:v>graph</x:v>
      </x:c>
      <x:c r="E20" s="69" t="str">
        <x:v>ingestion</x:v>
      </x:c>
      <x:c r="F20" s="69" t="str">
        <x:v>graph</x:v>
      </x:c>
      <x:c r="G20" s="69" t="str">
        <x:v>src/trace_net/graph/</x:v>
      </x:c>
      <x:c r="H20" s="69" t="str">
        <x:v>src/trace_net/graph/document_organization_graph.py</x:v>
      </x:c>
      <x:c r="I20" s="69" t="str">
        <x:v>active library module</x:v>
      </x:c>
      <x:c r="J20" s="69" t="str">
        <x:v>MOVE_WITH_IMPORT_UPDATES_AND_COMPATIBILITY_WRAPPER</x:v>
      </x:c>
      <x:c r="K20" s="70" t="b">
        <x:v>1</x:v>
      </x:c>
      <x:c r="L20" s="70" t="b">
        <x:v>0</x:v>
      </x:c>
      <x:c r="M20" s="70" t="b">
        <x:v>1</x:v>
      </x:c>
      <x:c r="N20" s="69" t="n">
        <x:v>3</x:v>
      </x:c>
      <x:c r="O20" s="69" t="n">
        <x:v>0</x:v>
      </x:c>
      <x:c r="P20" s="69" t="str">
        <x:v>scripts/export_document_organization_graph.py; tests/unit/test_tiff_document_organization_graph.py; tests/unit/test_tiff_page_context_graph.py</x:v>
      </x:c>
      <x:c r="Q20" s="71" t="n">
        <x:v>0.95</x:v>
      </x:c>
      <x:c r="R20" s="69" t="str">
        <x:v>graph/Leiden/Postgres naming</x:v>
      </x:c>
      <x:c r="S20" s="69" t="str">
        <x:v>Primary implementation belongs to the graph stage based on filename, imports, and inventory evidence.</x:v>
      </x:c>
      <x:c r="T20" s="69" t="str">
        <x:v>Update imports and retain the old tiff module as a wrapper when callers exist.</x:v>
      </x:c>
      <x:c r="U20" s="69" t="str"/>
      <x:c r="V20" s="69" t="str"/>
      <x:c r="W20" s="69" t="str"/>
      <x:c r="X20" s="72" t="n">
        <x:v>21275</x:v>
      </x:c>
      <x:c r="Y20" s="70" t="b">
        <x:v>1</x:v>
      </x:c>
      <x:c r="Z20" s="69" t="str">
        <x:v>Compatibility required</x:v>
      </x:c>
      <x:c r="AA20" s="69" t="str">
        <x:v>https://github.com/jwild2027/heico-ai-internship-summer-2026/blob/srv/tiff/document_organization_graph.py</x:v>
      </x:c>
      <x:c r="AB20" s="69" t="str">
        <x:v>shared &lt;= string:common; ingestion &lt;= path:tiff, symbol:extract_page, string:tiff; ocr &lt;= string:ocr; tables &lt;= string:table; graph &lt;= path:graph, symbol:graph, string:graph, string:has_context, string:has_nomenclature, string:mentions_part; context &lt;= string:page_context</x:v>
      </x:c>
    </x:row>
    <x:row r="21">
      <x:c r="A21" s="68" t="n">
        <x:v>20</x:v>
      </x:c>
      <x:c r="B21" s="69" t="str">
        <x:v>tiff/document_organization_inspector.py</x:v>
      </x:c>
      <x:c r="C21" s="69" t="str">
        <x:v>document_organization_inspector.py</x:v>
      </x:c>
      <x:c r="D21" s="69" t="str">
        <x:v>ingestion</x:v>
      </x:c>
      <x:c r="E21" s="69" t="str">
        <x:v>serving</x:v>
      </x:c>
      <x:c r="F21" s="69" t="str">
        <x:v>ingestion</x:v>
      </x:c>
      <x:c r="G21" s="69" t="str">
        <x:v>src/trace_net/ingestion/</x:v>
      </x:c>
      <x:c r="H21" s="69" t="str">
        <x:v>src/trace_net/ingestion/document_organization_inspector.py</x:v>
      </x:c>
      <x:c r="I21" s="69" t="str">
        <x:v>active library module</x:v>
      </x:c>
      <x:c r="J21" s="69" t="str">
        <x:v>MOVE_WITH_IMPORT_UPDATES_AND_COMPATIBILITY_WRAPPER</x:v>
      </x:c>
      <x:c r="K21" s="70" t="b">
        <x:v>1</x:v>
      </x:c>
      <x:c r="L21" s="70" t="b">
        <x:v>0</x:v>
      </x:c>
      <x:c r="M21" s="70" t="b">
        <x:v>1</x:v>
      </x:c>
      <x:c r="N21" s="69" t="n">
        <x:v>2</x:v>
      </x:c>
      <x:c r="O21" s="69" t="n">
        <x:v>0</x:v>
      </x:c>
      <x:c r="P21" s="69" t="str">
        <x:v>scripts/inspect_document_organization_export.py; tests/unit/test_tiff_document_organization_inspector.py</x:v>
      </x:c>
      <x:c r="Q21" s="71" t="n">
        <x:v>0.95</x:v>
      </x:c>
      <x:c r="R21" s="69" t="str">
        <x:v>ingestion/classification naming</x:v>
      </x:c>
      <x:c r="S21" s="69" t="str">
        <x:v>Primary implementation belongs to the ingestion stage based on filename, imports, and inventory evidence.</x:v>
      </x:c>
      <x:c r="T21" s="69" t="str">
        <x:v>Update imports and retain the old tiff module as a wrapper when callers exist.</x:v>
      </x:c>
      <x:c r="U21" s="69" t="str"/>
      <x:c r="V21" s="69" t="str"/>
      <x:c r="W21" s="69" t="str"/>
      <x:c r="X21" s="72" t="n">
        <x:v>10880</x:v>
      </x:c>
      <x:c r="Y21" s="70" t="b">
        <x:v>1</x:v>
      </x:c>
      <x:c r="Z21" s="69" t="str">
        <x:v>Compatibility required</x:v>
      </x:c>
      <x:c r="AA21" s="69" t="str">
        <x:v>https://github.com/jwild2027/heico-ai-internship-summer-2026/blob/srv/tiff/document_organization_inspector.py</x:v>
      </x:c>
      <x:c r="AB21" s="69" t="str">
        <x:v>ingestion &lt;= path:tiff, string:tiff; ocr &lt;= string:ocr; serving &lt;= import:sse, string:api; benchmarks &lt;= string:smoke; referenced_by_count=2; imported_by_count=2</x:v>
      </x:c>
    </x:row>
    <x:row r="22">
      <x:c r="A22" s="68" t="n">
        <x:v>21</x:v>
      </x:c>
      <x:c r="B22" s="69" t="str">
        <x:v>tiff/document_organization_query.py</x:v>
      </x:c>
      <x:c r="C22" s="69" t="str">
        <x:v>document_organization_query.py</x:v>
      </x:c>
      <x:c r="D22" s="69" t="str">
        <x:v>ingestion</x:v>
      </x:c>
      <x:c r="E22" s="69" t="str"/>
      <x:c r="F22" s="69" t="str">
        <x:v>ingestion</x:v>
      </x:c>
      <x:c r="G22" s="69" t="str">
        <x:v>src/trace_net/ingestion/</x:v>
      </x:c>
      <x:c r="H22" s="69" t="str">
        <x:v>src/trace_net/ingestion/document_organization_query.py</x:v>
      </x:c>
      <x:c r="I22" s="69" t="str">
        <x:v>active library module</x:v>
      </x:c>
      <x:c r="J22" s="69" t="str">
        <x:v>MOVE_WITH_IMPORT_UPDATES_AND_COMPATIBILITY_WRAPPER</x:v>
      </x:c>
      <x:c r="K22" s="70" t="b">
        <x:v>1</x:v>
      </x:c>
      <x:c r="L22" s="70" t="b">
        <x:v>0</x:v>
      </x:c>
      <x:c r="M22" s="70" t="b">
        <x:v>1</x:v>
      </x:c>
      <x:c r="N22" s="69" t="n">
        <x:v>6</x:v>
      </x:c>
      <x:c r="O22" s="69" t="n">
        <x:v>0</x:v>
      </x:c>
      <x:c r="P22" s="69" t="str">
        <x:v>apps/streamlit/tiff_rag_ui.py; scripts/query_document_organization.py; tests/unit/test_tiff_document_organization_query.py; tests/unit/test_tiff_streamlit_ui_backend.py; tiff/rag_ata_answer.py; tiff/streamlit_ui_backend.py</x:v>
      </x:c>
      <x:c r="Q22" s="71" t="n">
        <x:v>0.95</x:v>
      </x:c>
      <x:c r="R22" s="69" t="str">
        <x:v>ingestion/classification naming</x:v>
      </x:c>
      <x:c r="S22" s="69" t="str">
        <x:v>Primary implementation belongs to the ingestion stage based on filename, imports, and inventory evidence.</x:v>
      </x:c>
      <x:c r="T22" s="69" t="str">
        <x:v>Update imports and retain the old tiff module as a wrapper when callers exist.</x:v>
      </x:c>
      <x:c r="U22" s="69" t="str"/>
      <x:c r="V22" s="69" t="str"/>
      <x:c r="W22" s="69" t="str"/>
      <x:c r="X22" s="72" t="n">
        <x:v>16560</x:v>
      </x:c>
      <x:c r="Y22" s="70" t="b">
        <x:v>1</x:v>
      </x:c>
      <x:c r="Z22" s="69" t="str">
        <x:v>Compatibility required</x:v>
      </x:c>
      <x:c r="AA22" s="69" t="str">
        <x:v>https://github.com/jwild2027/heico-ai-internship-summer-2026/blob/srv/tiff/document_organization_query.py</x:v>
      </x:c>
      <x:c r="AB22" s="69" t="str">
        <x:v>shared &lt;= string:schema; ingestion &lt;= path:tiff, string:tiff; ocr &lt;= string:ocr; tables &lt;= string:table; serving &lt;= import:sse, string:api; referenced_by_count=3</x:v>
      </x:c>
    </x:row>
    <x:row r="23">
      <x:c r="A23" s="68" t="n">
        <x:v>22</x:v>
      </x:c>
      <x:c r="B23" s="69" t="str">
        <x:v>tiff/entity_trait_graph.py</x:v>
      </x:c>
      <x:c r="C23" s="69" t="str">
        <x:v>entity_trait_graph.py</x:v>
      </x:c>
      <x:c r="D23" s="69" t="str">
        <x:v>graph</x:v>
      </x:c>
      <x:c r="E23" s="69" t="str">
        <x:v>ingestion, serving</x:v>
      </x:c>
      <x:c r="F23" s="69" t="str">
        <x:v>graph</x:v>
      </x:c>
      <x:c r="G23" s="69" t="str">
        <x:v>src/trace_net/graph/</x:v>
      </x:c>
      <x:c r="H23" s="69" t="str">
        <x:v>src/trace_net/graph/entity_trait_graph.py</x:v>
      </x:c>
      <x:c r="I23" s="69" t="str">
        <x:v>active library module</x:v>
      </x:c>
      <x:c r="J23" s="69" t="str">
        <x:v>MOVE_WITH_IMPORT_UPDATES_AND_COMPATIBILITY_WRAPPER</x:v>
      </x:c>
      <x:c r="K23" s="70" t="b">
        <x:v>1</x:v>
      </x:c>
      <x:c r="L23" s="70" t="b">
        <x:v>0</x:v>
      </x:c>
      <x:c r="M23" s="70" t="b">
        <x:v>1</x:v>
      </x:c>
      <x:c r="N23" s="69" t="n">
        <x:v>5</x:v>
      </x:c>
      <x:c r="O23" s="69" t="n">
        <x:v>0</x:v>
      </x:c>
      <x:c r="P23" s="69" t="str">
        <x:v>scripts/check_entity_trait_graph_quality.py; scripts/export_entity_trait_graph.py; tests/unit/test_tiff_entity_trait_graph.py; tests/unit/test_tiff_entity_trait_graph_quality.py; tiff/entity_trait_graph_quality.py</x:v>
      </x:c>
      <x:c r="Q23" s="71" t="n">
        <x:v>0.95</x:v>
      </x:c>
      <x:c r="R23" s="69" t="str">
        <x:v>graph/Leiden/Postgres naming</x:v>
      </x:c>
      <x:c r="S23" s="69" t="str">
        <x:v>Primary implementation belongs to the graph stage based on filename, imports, and inventory evidence.</x:v>
      </x:c>
      <x:c r="T23" s="69" t="str">
        <x:v>Update imports and retain the old tiff module as a wrapper when callers exist.</x:v>
      </x:c>
      <x:c r="U23" s="69" t="str"/>
      <x:c r="V23" s="69" t="str"/>
      <x:c r="W23" s="69" t="str"/>
      <x:c r="X23" s="72" t="n">
        <x:v>44690</x:v>
      </x:c>
      <x:c r="Y23" s="70" t="b">
        <x:v>1</x:v>
      </x:c>
      <x:c r="Z23" s="69" t="str">
        <x:v>Compatibility required</x:v>
      </x:c>
      <x:c r="AA23" s="69" t="str">
        <x:v>https://github.com/jwild2027/heico-ai-internship-summer-2026/blob/srv/tiff/entity_trait_graph.py</x:v>
      </x:c>
      <x:c r="AB23" s="69" t="str">
        <x:v>ingestion &lt;= path:tiff, string:page_image, string:tiff; ocr &lt;= symbol:ocr, string:ocr; visual &lt;= string:visual; graph &lt;= path:graph, symbol:graph, string:graph, string:has_context, string:mentions_part; serving &lt;= symbol:sse, import:sse, string:sse; referenced_by_count=2</x:v>
      </x:c>
    </x:row>
    <x:row r="24">
      <x:c r="A24" s="68" t="n">
        <x:v>23</x:v>
      </x:c>
      <x:c r="B24" s="69" t="str">
        <x:v>tiff/entity_trait_graph_quality.py</x:v>
      </x:c>
      <x:c r="C24" s="69" t="str">
        <x:v>entity_trait_graph_quality.py</x:v>
      </x:c>
      <x:c r="D24" s="69" t="str">
        <x:v>graph</x:v>
      </x:c>
      <x:c r="E24" s="69" t="str">
        <x:v>ingestion</x:v>
      </x:c>
      <x:c r="F24" s="69" t="str">
        <x:v>graph</x:v>
      </x:c>
      <x:c r="G24" s="69" t="str">
        <x:v>src/trace_net/graph/quality/</x:v>
      </x:c>
      <x:c r="H24" s="69" t="str">
        <x:v>src/trace_net/graph/quality/entity_trait_graph_quality.py</x:v>
      </x:c>
      <x:c r="I24" s="69" t="str">
        <x:v>quality validator module</x:v>
      </x:c>
      <x:c r="J24" s="69" t="str">
        <x:v>MOVE_WITH_IMPORT_UPDATES_AND_COMPATIBILITY_WRAPPER</x:v>
      </x:c>
      <x:c r="K24" s="70" t="b">
        <x:v>1</x:v>
      </x:c>
      <x:c r="L24" s="70" t="b">
        <x:v>0</x:v>
      </x:c>
      <x:c r="M24" s="70" t="b">
        <x:v>1</x:v>
      </x:c>
      <x:c r="N24" s="69" t="n">
        <x:v>2</x:v>
      </x:c>
      <x:c r="O24" s="69" t="n">
        <x:v>0</x:v>
      </x:c>
      <x:c r="P24" s="69" t="str">
        <x:v>scripts/check_entity_trait_graph_quality.py; tests/unit/test_tiff_entity_trait_graph_quality.py</x:v>
      </x:c>
      <x:c r="Q24" s="71" t="n">
        <x:v>0.97</x:v>
      </x:c>
      <x:c r="R24" s="69" t="str">
        <x:v>graph/Leiden/Postgres naming</x:v>
      </x:c>
      <x:c r="S24" s="69" t="str">
        <x:v>Quality logic is reusable source code for the graph stage.</x:v>
      </x:c>
      <x:c r="T24" s="69" t="str">
        <x:v>Update test and script imports; retain the old tiff import as a thin wrapper until PASS.</x:v>
      </x:c>
      <x:c r="U24" s="69" t="str"/>
      <x:c r="V24" s="69" t="str"/>
      <x:c r="W24" s="69" t="str"/>
      <x:c r="X24" s="72" t="n">
        <x:v>8972</x:v>
      </x:c>
      <x:c r="Y24" s="70" t="b">
        <x:v>1</x:v>
      </x:c>
      <x:c r="Z24" s="69" t="str">
        <x:v>Compatibility required</x:v>
      </x:c>
      <x:c r="AA24" s="69" t="str">
        <x:v>https://github.com/jwild2027/heico-ai-internship-summer-2026/blob/srv/tiff/entity_trait_graph_quality.py</x:v>
      </x:c>
      <x:c r="AB24" s="69" t="str">
        <x:v>ingestion &lt;= path:tiff, import:tiff; graph &lt;= path:graph, import:graph, string:graph, string:relationship; serving &lt;= import:sse, string:sse; referenced_by_count=1; imported_by_count=2</x:v>
      </x:c>
    </x:row>
    <x:row r="25">
      <x:c r="A25" s="68" t="n">
        <x:v>24</x:v>
      </x:c>
      <x:c r="B25" s="69" t="str">
        <x:v>tiff/feedback_session.py</x:v>
      </x:c>
      <x:c r="C25" s="69" t="str">
        <x:v>feedback_session.py</x:v>
      </x:c>
      <x:c r="D25" s="69" t="str">
        <x:v>feedback</x:v>
      </x:c>
      <x:c r="E25" s="69" t="str">
        <x:v>ingestion</x:v>
      </x:c>
      <x:c r="F25" s="69" t="str">
        <x:v>feedback</x:v>
      </x:c>
      <x:c r="G25" s="69" t="str">
        <x:v>src/trace_net/feedback/</x:v>
      </x:c>
      <x:c r="H25" s="69" t="str">
        <x:v>src/trace_net/feedback/feedback_session.py</x:v>
      </x:c>
      <x:c r="I25" s="69" t="str">
        <x:v>active library module</x:v>
      </x:c>
      <x:c r="J25" s="69" t="str">
        <x:v>MOVE_WITH_IMPORT_UPDATES_AND_COMPATIBILITY_WRAPPER</x:v>
      </x:c>
      <x:c r="K25" s="70" t="b">
        <x:v>1</x:v>
      </x:c>
      <x:c r="L25" s="70" t="b">
        <x:v>0</x:v>
      </x:c>
      <x:c r="M25" s="70" t="b">
        <x:v>1</x:v>
      </x:c>
      <x:c r="N25" s="69" t="n">
        <x:v>2</x:v>
      </x:c>
      <x:c r="O25" s="69" t="n">
        <x:v>0</x:v>
      </x:c>
      <x:c r="P25" s="69" t="str">
        <x:v>scripts/run_feedback_session.py; tests/unit/test_tiff_feedback_session.py</x:v>
      </x:c>
      <x:c r="Q25" s="71" t="n">
        <x:v>0.95</x:v>
      </x:c>
      <x:c r="R25" s="69" t="str">
        <x:v>feedback naming</x:v>
      </x:c>
      <x:c r="S25" s="69" t="str">
        <x:v>Primary implementation belongs to the feedback stage based on filename, imports, and inventory evidence.</x:v>
      </x:c>
      <x:c r="T25" s="69" t="str">
        <x:v>Update imports and retain the old tiff module as a wrapper when callers exist.</x:v>
      </x:c>
      <x:c r="U25" s="69" t="str"/>
      <x:c r="V25" s="69" t="str"/>
      <x:c r="W25" s="69" t="str"/>
      <x:c r="X25" s="72" t="n">
        <x:v>12321</x:v>
      </x:c>
      <x:c r="Y25" s="70" t="b">
        <x:v>1</x:v>
      </x:c>
      <x:c r="Z25" s="69" t="str">
        <x:v>Compatibility required</x:v>
      </x:c>
      <x:c r="AA25" s="69" t="str">
        <x:v>https://github.com/jwild2027/heico-ai-internship-summer-2026/blob/srv/tiff/feedback_session.py</x:v>
      </x:c>
      <x:c r="AB25" s="69" t="str">
        <x:v>ingestion &lt;= path:tiff, string:tiff; ocr &lt;= string:ocr; tables &lt;= symbol:table; graph &lt;= string:graph; embeddings &lt;= string:embedding; serving &lt;= import:sse</x:v>
      </x:c>
    </x:row>
    <x:row r="26">
      <x:c r="A26" s="68" t="n">
        <x:v>25</x:v>
      </x:c>
      <x:c r="B26" s="69" t="str">
        <x:v>tiff/graph_org_chart_site.py</x:v>
      </x:c>
      <x:c r="C26" s="69" t="str">
        <x:v>graph_org_chart_site.py</x:v>
      </x:c>
      <x:c r="D26" s="69" t="str">
        <x:v>graph</x:v>
      </x:c>
      <x:c r="E26" s="69" t="str">
        <x:v>ingestion, serving</x:v>
      </x:c>
      <x:c r="F26" s="69" t="str">
        <x:v>graph</x:v>
      </x:c>
      <x:c r="G26" s="69" t="str">
        <x:v>src/trace_net/graph/</x:v>
      </x:c>
      <x:c r="H26" s="69" t="str">
        <x:v>src/trace_net/graph/graph_org_chart_site.py</x:v>
      </x:c>
      <x:c r="I26" s="69" t="str">
        <x:v>active library module</x:v>
      </x:c>
      <x:c r="J26" s="69" t="str">
        <x:v>MOVE_WITH_IMPORT_UPDATES_AND_COMPATIBILITY_WRAPPER</x:v>
      </x:c>
      <x:c r="K26" s="70" t="b">
        <x:v>1</x:v>
      </x:c>
      <x:c r="L26" s="70" t="b">
        <x:v>0</x:v>
      </x:c>
      <x:c r="M26" s="70" t="b">
        <x:v>1</x:v>
      </x:c>
      <x:c r="N26" s="69" t="n">
        <x:v>4</x:v>
      </x:c>
      <x:c r="O26" s="69" t="n">
        <x:v>0</x:v>
      </x:c>
      <x:c r="P26" s="69" t="str">
        <x:v>scripts/build_graph_org_chart_site.py; tests/unit/test_tiff_current_graph_org_chart_site.py; tests/unit/test_tiff_graph_org_chart_browser_syntax.py; tests/unit/test_tiff_graph_org_chart_site.py</x:v>
      </x:c>
      <x:c r="Q26" s="71" t="n">
        <x:v>0.95</x:v>
      </x:c>
      <x:c r="R26" s="69" t="str">
        <x:v>graph/Leiden/Postgres naming</x:v>
      </x:c>
      <x:c r="S26" s="69" t="str">
        <x:v>Primary implementation belongs to the graph stage based on filename, imports, and inventory evidence.</x:v>
      </x:c>
      <x:c r="T26" s="69" t="str">
        <x:v>Update imports and retain the old tiff module as a wrapper when callers exist.</x:v>
      </x:c>
      <x:c r="U26" s="69" t="str"/>
      <x:c r="V26" s="69" t="str"/>
      <x:c r="W26" s="69" t="str"/>
      <x:c r="X26" s="72" t="n">
        <x:v>52478</x:v>
      </x:c>
      <x:c r="Y26" s="70" t="b">
        <x:v>1</x:v>
      </x:c>
      <x:c r="Z26" s="69" t="str">
        <x:v>Compatibility required</x:v>
      </x:c>
      <x:c r="AA26" s="69" t="str">
        <x:v>https://github.com/jwild2027/heico-ai-internship-summer-2026/blob/srv/tiff/graph_org_chart_site.py</x:v>
      </x:c>
      <x:c r="AB26" s="69" t="str">
        <x:v>shared &lt;= string:common; ingestion &lt;= path:tiff, string:page_image, string:tiff; ocr &lt;= string:ocr; visual &lt;= string:visual; graph &lt;= path:graph, string:graph, string:has_context, string:relationship; context &lt;= string:source_trace</x:v>
      </x:c>
    </x:row>
    <x:row r="27">
      <x:c r="A27" s="68" t="n">
        <x:v>26</x:v>
      </x:c>
      <x:c r="B27" s="69" t="str">
        <x:v>tiff/graph_setup_report.py</x:v>
      </x:c>
      <x:c r="C27" s="69" t="str">
        <x:v>graph_setup_report.py</x:v>
      </x:c>
      <x:c r="D27" s="69" t="str">
        <x:v>graph</x:v>
      </x:c>
      <x:c r="E27" s="69" t="str">
        <x:v>ingestion</x:v>
      </x:c>
      <x:c r="F27" s="69" t="str">
        <x:v>graph</x:v>
      </x:c>
      <x:c r="G27" s="69" t="str">
        <x:v>src/trace_net/graph/</x:v>
      </x:c>
      <x:c r="H27" s="69" t="str">
        <x:v>src/trace_net/graph/graph_setup_report.py</x:v>
      </x:c>
      <x:c r="I27" s="69" t="str">
        <x:v>active library module</x:v>
      </x:c>
      <x:c r="J27" s="69" t="str">
        <x:v>MOVE_WITH_IMPORT_UPDATES_AND_COMPATIBILITY_WRAPPER</x:v>
      </x:c>
      <x:c r="K27" s="70" t="b">
        <x:v>1</x:v>
      </x:c>
      <x:c r="L27" s="70" t="b">
        <x:v>0</x:v>
      </x:c>
      <x:c r="M27" s="70" t="b">
        <x:v>1</x:v>
      </x:c>
      <x:c r="N27" s="69" t="n">
        <x:v>3</x:v>
      </x:c>
      <x:c r="O27" s="69" t="n">
        <x:v>0</x:v>
      </x:c>
      <x:c r="P27" s="69" t="str">
        <x:v>scripts/print_current_graph_setup.py; tests/unit/test_tiff_current_graph_setup_report.py; tests/unit/test_tiff_graph_setup_report.py</x:v>
      </x:c>
      <x:c r="Q27" s="71" t="n">
        <x:v>0.95</x:v>
      </x:c>
      <x:c r="R27" s="69" t="str">
        <x:v>graph/Leiden/Postgres naming</x:v>
      </x:c>
      <x:c r="S27" s="69" t="str">
        <x:v>Primary implementation belongs to the graph stage based on filename, imports, and inventory evidence.</x:v>
      </x:c>
      <x:c r="T27" s="69" t="str">
        <x:v>Update imports and retain the old tiff module as a wrapper when callers exist.</x:v>
      </x:c>
      <x:c r="U27" s="69" t="str"/>
      <x:c r="V27" s="69" t="str"/>
      <x:c r="W27" s="69" t="str"/>
      <x:c r="X27" s="72" t="n">
        <x:v>31763</x:v>
      </x:c>
      <x:c r="Y27" s="70" t="b">
        <x:v>1</x:v>
      </x:c>
      <x:c r="Z27" s="69" t="str">
        <x:v>Compatibility required</x:v>
      </x:c>
      <x:c r="AA27" s="69" t="str">
        <x:v>https://github.com/jwild2027/heico-ai-internship-summer-2026/blob/srv/tiff/graph_setup_report.py</x:v>
      </x:c>
      <x:c r="AB27" s="69" t="str">
        <x:v>shared &lt;= string:common; ingestion &lt;= path:tiff, string:page_image, string:tiff; ocr &lt;= string:ocr; visual &lt;= string:visual; graph &lt;= path:graph, symbol:graph, string:graph, string:has_context, string:mentions_part; context &lt;= string:page_context</x:v>
      </x:c>
    </x:row>
    <x:row r="28">
      <x:c r="A28" s="68" t="n">
        <x:v>27</x:v>
      </x:c>
      <x:c r="B28" s="69" t="str">
        <x:v>tiff/graph_visualization.py</x:v>
      </x:c>
      <x:c r="C28" s="69" t="str">
        <x:v>graph_visualization.py</x:v>
      </x:c>
      <x:c r="D28" s="69" t="str">
        <x:v>visual</x:v>
      </x:c>
      <x:c r="E28" s="69" t="str">
        <x:v>graph, ingestion, serving</x:v>
      </x:c>
      <x:c r="F28" s="69" t="str">
        <x:v>visual</x:v>
      </x:c>
      <x:c r="G28" s="69" t="str">
        <x:v>src/trace_net/visual/</x:v>
      </x:c>
      <x:c r="H28" s="69" t="str">
        <x:v>src/trace_net/visual/graph_visualization.py</x:v>
      </x:c>
      <x:c r="I28" s="69" t="str">
        <x:v>active library module</x:v>
      </x:c>
      <x:c r="J28" s="69" t="str">
        <x:v>MOVE_WITH_IMPORT_UPDATES_AND_COMPATIBILITY_WRAPPER</x:v>
      </x:c>
      <x:c r="K28" s="70" t="b">
        <x:v>1</x:v>
      </x:c>
      <x:c r="L28" s="70" t="b">
        <x:v>0</x:v>
      </x:c>
      <x:c r="M28" s="70" t="b">
        <x:v>1</x:v>
      </x:c>
      <x:c r="N28" s="69" t="n">
        <x:v>3</x:v>
      </x:c>
      <x:c r="O28" s="69" t="n">
        <x:v>0</x:v>
      </x:c>
      <x:c r="P28" s="69" t="str">
        <x:v>scripts/visualize_current_graph.py; tests/unit/test_tiff_current_graph_visualization.py; tests/unit/test_tiff_graph_visualization.py</x:v>
      </x:c>
      <x:c r="Q28" s="71" t="n">
        <x:v>0.95</x:v>
      </x:c>
      <x:c r="R28" s="69" t="str">
        <x:v>visual/image/vision naming</x:v>
      </x:c>
      <x:c r="S28" s="69" t="str">
        <x:v>Primary implementation belongs to the visual stage based on filename, imports, and inventory evidence.</x:v>
      </x:c>
      <x:c r="T28" s="69" t="str">
        <x:v>Update imports and retain the old tiff module as a wrapper when callers exist.</x:v>
      </x:c>
      <x:c r="U28" s="69" t="str"/>
      <x:c r="V28" s="69" t="str"/>
      <x:c r="W28" s="69" t="str"/>
      <x:c r="X28" s="72" t="n">
        <x:v>42375</x:v>
      </x:c>
      <x:c r="Y28" s="70" t="b">
        <x:v>1</x:v>
      </x:c>
      <x:c r="Z28" s="69" t="str">
        <x:v>Compatibility required</x:v>
      </x:c>
      <x:c r="AA28" s="69" t="str">
        <x:v>https://github.com/jwild2027/heico-ai-internship-summer-2026/blob/srv/tiff/graph_visualization.py</x:v>
      </x:c>
      <x:c r="AB28" s="69" t="str">
        <x:v>ingestion &lt;= path:tiff, symbol:extract_page, string:tiff; ocr &lt;= string:ocr; visual &lt;= path:visual, symbol:visual, string:visual; graph &lt;= path:graph, symbol:graph, string:graph; context &lt;= string:page_context; validation &lt;= symbol:fallback</x:v>
      </x:c>
    </x:row>
    <x:row r="29">
      <x:c r="A29" s="68" t="n">
        <x:v>28</x:v>
      </x:c>
      <x:c r="B29" s="69" t="str">
        <x:v>tiff/incremental_changed_page_smoke.py</x:v>
      </x:c>
      <x:c r="C29" s="69" t="str">
        <x:v>incremental_changed_page_smoke.py</x:v>
      </x:c>
      <x:c r="D29" s="69" t="str">
        <x:v>benchmarks</x:v>
      </x:c>
      <x:c r="E29" s="69" t="str">
        <x:v>ingestion, tables</x:v>
      </x:c>
      <x:c r="F29" s="69" t="str">
        <x:v>ingestion</x:v>
      </x:c>
      <x:c r="G29" s="69" t="str">
        <x:v>src/trace_net/ingestion/</x:v>
      </x:c>
      <x:c r="H29" s="69" t="str">
        <x:v>src/trace_net/ingestion/incremental_changed_page_smoke.py</x:v>
      </x:c>
      <x:c r="I29" s="69" t="str">
        <x:v>active library module</x:v>
      </x:c>
      <x:c r="J29" s="69" t="str">
        <x:v>MOVE_WITH_IMPORT_UPDATES_AND_COMPATIBILITY_WRAPPER</x:v>
      </x:c>
      <x:c r="K29" s="70" t="b">
        <x:v>1</x:v>
      </x:c>
      <x:c r="L29" s="70" t="b">
        <x:v>0</x:v>
      </x:c>
      <x:c r="M29" s="70" t="b">
        <x:v>1</x:v>
      </x:c>
      <x:c r="N29" s="69" t="n">
        <x:v>2</x:v>
      </x:c>
      <x:c r="O29" s="69" t="n">
        <x:v>0</x:v>
      </x:c>
      <x:c r="P29" s="69" t="str">
        <x:v>scripts/smoke_test_incremental_changed_page.py; tests/unit/test_tiff_incremental_changed_page_smoke.py</x:v>
      </x:c>
      <x:c r="Q29" s="71" t="n">
        <x:v>0.95</x:v>
      </x:c>
      <x:c r="R29" s="69" t="str">
        <x:v>ingestion/classification naming</x:v>
      </x:c>
      <x:c r="S29" s="69" t="str">
        <x:v>Primary implementation belongs to the ingestion stage based on filename, imports, and inventory evidence.</x:v>
      </x:c>
      <x:c r="T29" s="69" t="str">
        <x:v>Update imports and retain the old tiff module as a wrapper when callers exist.</x:v>
      </x:c>
      <x:c r="U29" s="69" t="str"/>
      <x:c r="V29" s="69" t="str"/>
      <x:c r="W29" s="69" t="str"/>
      <x:c r="X29" s="72" t="n">
        <x:v>15365</x:v>
      </x:c>
      <x:c r="Y29" s="70" t="b">
        <x:v>1</x:v>
      </x:c>
      <x:c r="Z29" s="69" t="str">
        <x:v>Compatibility required</x:v>
      </x:c>
      <x:c r="AA29" s="69" t="str">
        <x:v>https://github.com/jwild2027/heico-ai-internship-summer-2026/blob/srv/tiff/incremental_changed_page_smoke.py</x:v>
      </x:c>
      <x:c r="AB29" s="69" t="str">
        <x:v>shared &lt;= string:helper; ingestion &lt;= path:tiff, import:tiff, string:tiff; ocr &lt;= string:ocr; tables &lt;= symbol:table, string:table; serving &lt;= import:sse; benchmarks &lt;= path:smoke, symbol:smoke, string:smoke</x:v>
      </x:c>
    </x:row>
    <x:row r="30">
      <x:c r="A30" s="68" t="n">
        <x:v>29</x:v>
      </x:c>
      <x:c r="B30" s="69" t="str">
        <x:v>tiff/incremental_pipeline.py</x:v>
      </x:c>
      <x:c r="C30" s="69" t="str">
        <x:v>incremental_pipeline.py</x:v>
      </x:c>
      <x:c r="D30" s="69" t="str">
        <x:v>ingestion</x:v>
      </x:c>
      <x:c r="E30" s="69" t="str">
        <x:v>benchmarks</x:v>
      </x:c>
      <x:c r="F30" s="69" t="str">
        <x:v>ingestion</x:v>
      </x:c>
      <x:c r="G30" s="69" t="str">
        <x:v>src/trace_net/ingestion/</x:v>
      </x:c>
      <x:c r="H30" s="69" t="str">
        <x:v>src/trace_net/ingestion/incremental_pipeline.py</x:v>
      </x:c>
      <x:c r="I30" s="69" t="str">
        <x:v>active library module</x:v>
      </x:c>
      <x:c r="J30" s="69" t="str">
        <x:v>MOVE_WITH_IMPORT_UPDATES_AND_COMPATIBILITY_WRAPPER</x:v>
      </x:c>
      <x:c r="K30" s="70" t="b">
        <x:v>1</x:v>
      </x:c>
      <x:c r="L30" s="70" t="b">
        <x:v>0</x:v>
      </x:c>
      <x:c r="M30" s="70" t="b">
        <x:v>1</x:v>
      </x:c>
      <x:c r="N30" s="69" t="n">
        <x:v>11</x:v>
      </x:c>
      <x:c r="O30" s="69" t="n">
        <x:v>0</x:v>
      </x:c>
      <x:c r="P30" s="69" t="str">
        <x:v>scripts/run_incremental_tiff_pipeline.py; scripts/smoke_test_changed_page_backend_mode.py; scripts/smoke_test_incremental_change_detection.py; tests/unit/test_tiff_incremental_changed_page_backend.py; tests/unit/test_tiff_incremental_changed_page_backend_mode.py; tests/unit/test_tiff_incremental_changed_page_smoke.py; tests/unit/test_tiff_incremental_compatibility_api.py; tests/unit/test_tiff_incremental_pipeline.py; tests/unit/test_tiff_incremental_pipeline_safe_commit.py; tiff/incremental_changed_page_smoke.py; … +1 more</x:v>
      </x:c>
      <x:c r="Q30" s="71" t="n">
        <x:v>0.95</x:v>
      </x:c>
      <x:c r="R30" s="69" t="str">
        <x:v>ingestion/classification naming</x:v>
      </x:c>
      <x:c r="S30" s="69" t="str">
        <x:v>Primary implementation belongs to the ingestion stage based on filename, imports, and inventory evidence.</x:v>
      </x:c>
      <x:c r="T30" s="69" t="str">
        <x:v>Update imports and retain the old tiff module as a wrapper when callers exist.</x:v>
      </x:c>
      <x:c r="U30" s="69" t="str"/>
      <x:c r="V30" s="69" t="str"/>
      <x:c r="W30" s="69" t="str"/>
      <x:c r="X30" s="72" t="n">
        <x:v>12842</x:v>
      </x:c>
      <x:c r="Y30" s="70" t="b">
        <x:v>1</x:v>
      </x:c>
      <x:c r="Z30" s="69" t="str">
        <x:v>Compatibility required</x:v>
      </x:c>
      <x:c r="AA30" s="69" t="str">
        <x:v>https://github.com/jwild2027/heico-ai-internship-summer-2026/blob/srv/tiff/incremental_pipeline.py</x:v>
      </x:c>
      <x:c r="AB30" s="69" t="str">
        <x:v>shared &lt;= string:helper; ingestion &lt;= path:tiff, string:tiff; ocr &lt;= string:ocr, string:tesseract; embeddings &lt;= string:bge_m3, string:embedding; serving &lt;= import:sse, string:sse; benchmarks &lt;= string:eval</x:v>
      </x:c>
    </x:row>
    <x:row r="31">
      <x:c r="A31" s="68" t="n">
        <x:v>30</x:v>
      </x:c>
      <x:c r="B31" s="69" t="str">
        <x:v>tiff/incremental_readiness.py</x:v>
      </x:c>
      <x:c r="C31" s="69" t="str">
        <x:v>incremental_readiness.py</x:v>
      </x:c>
      <x:c r="D31" s="69" t="str">
        <x:v>ingestion</x:v>
      </x:c>
      <x:c r="E31" s="69" t="str"/>
      <x:c r="F31" s="69" t="str">
        <x:v>ingestion</x:v>
      </x:c>
      <x:c r="G31" s="69" t="str">
        <x:v>src/trace_net/ingestion/</x:v>
      </x:c>
      <x:c r="H31" s="69" t="str">
        <x:v>src/trace_net/ingestion/incremental_readiness.py</x:v>
      </x:c>
      <x:c r="I31" s="69" t="str">
        <x:v>active library module</x:v>
      </x:c>
      <x:c r="J31" s="69" t="str">
        <x:v>MOVE_WITH_IMPORT_UPDATES_AND_COMPATIBILITY_WRAPPER</x:v>
      </x:c>
      <x:c r="K31" s="70" t="b">
        <x:v>1</x:v>
      </x:c>
      <x:c r="L31" s="70" t="b">
        <x:v>0</x:v>
      </x:c>
      <x:c r="M31" s="70" t="b">
        <x:v>1</x:v>
      </x:c>
      <x:c r="N31" s="69" t="n">
        <x:v>2</x:v>
      </x:c>
      <x:c r="O31" s="69" t="n">
        <x:v>0</x:v>
      </x:c>
      <x:c r="P31" s="69" t="str">
        <x:v>scripts/audit_incremental_readiness.py; tests/unit/test_tiff_incremental_readiness.py</x:v>
      </x:c>
      <x:c r="Q31" s="71" t="n">
        <x:v>0.95</x:v>
      </x:c>
      <x:c r="R31" s="69" t="str">
        <x:v>ingestion/classification naming</x:v>
      </x:c>
      <x:c r="S31" s="69" t="str">
        <x:v>Primary implementation belongs to the ingestion stage based on filename, imports, and inventory evidence.</x:v>
      </x:c>
      <x:c r="T31" s="69" t="str">
        <x:v>Update imports and retain the old tiff module as a wrapper when callers exist.</x:v>
      </x:c>
      <x:c r="U31" s="69" t="str"/>
      <x:c r="V31" s="69" t="str"/>
      <x:c r="W31" s="69" t="str"/>
      <x:c r="X31" s="72" t="n">
        <x:v>18800</x:v>
      </x:c>
      <x:c r="Y31" s="70" t="b">
        <x:v>1</x:v>
      </x:c>
      <x:c r="Z31" s="69" t="str">
        <x:v>Compatibility required</x:v>
      </x:c>
      <x:c r="AA31" s="69" t="str">
        <x:v>https://github.com/jwild2027/heico-ai-internship-summer-2026/blob/srv/tiff/incremental_readiness.py</x:v>
      </x:c>
      <x:c r="AB31" s="69" t="str">
        <x:v>ingestion &lt;= path:tiff, symbol:tiff, import:tiff, string:tiff; ocr &lt;= string:ocr; tables &lt;= string:table; validation &lt;= string:quality_gate; serving &lt;= import:sse; benchmarks &lt;= string:eval</x:v>
      </x:c>
    </x:row>
    <x:row r="32">
      <x:c r="A32" s="68" t="n">
        <x:v>31</x:v>
      </x:c>
      <x:c r="B32" s="69" t="str">
        <x:v>tiff/incremental_state.py</x:v>
      </x:c>
      <x:c r="C32" s="69" t="str">
        <x:v>incremental_state.py</x:v>
      </x:c>
      <x:c r="D32" s="69" t="str">
        <x:v>ingestion</x:v>
      </x:c>
      <x:c r="E32" s="69" t="str"/>
      <x:c r="F32" s="69" t="str">
        <x:v>ingestion</x:v>
      </x:c>
      <x:c r="G32" s="69" t="str">
        <x:v>src/trace_net/ingestion/</x:v>
      </x:c>
      <x:c r="H32" s="69" t="str">
        <x:v>src/trace_net/ingestion/incremental_state.py</x:v>
      </x:c>
      <x:c r="I32" s="69" t="str">
        <x:v>active library module</x:v>
      </x:c>
      <x:c r="J32" s="69" t="str">
        <x:v>MOVE_WITH_IMPORT_UPDATES_AND_COMPATIBILITY_WRAPPER</x:v>
      </x:c>
      <x:c r="K32" s="70" t="b">
        <x:v>1</x:v>
      </x:c>
      <x:c r="L32" s="70" t="b">
        <x:v>0</x:v>
      </x:c>
      <x:c r="M32" s="70" t="b">
        <x:v>1</x:v>
      </x:c>
      <x:c r="N32" s="69" t="n">
        <x:v>13</x:v>
      </x:c>
      <x:c r="O32" s="69" t="n">
        <x:v>0</x:v>
      </x:c>
      <x:c r="P32" s="69" t="str">
        <x:v>scripts/run_incremental_tiff_pipeline.py; scripts/smoke_test_incremental_change_detection.py; tests/unit/test_tiff_incremental_changed_page_backend_mode.py; tests/unit/test_tiff_incremental_compatibility_api.py; tests/unit/test_tiff_incremental_pipeline.py; tests/unit/test_tiff_incremental_pipeline_safe_commit.py; tests/unit/test_tiff_incremental_preview_db_cleanup.py; tests/unit/test_tiff_incremental_readiness.py; tests/unit/test_tiff_incremental_safe_commit.py; tests/unit/test_tiff_incremental_state.py; … +3 more</x:v>
      </x:c>
      <x:c r="Q32" s="71" t="n">
        <x:v>0.95</x:v>
      </x:c>
      <x:c r="R32" s="69" t="str">
        <x:v>ingestion/classification naming</x:v>
      </x:c>
      <x:c r="S32" s="69" t="str">
        <x:v>Primary implementation belongs to the ingestion stage based on filename, imports, and inventory evidence.</x:v>
      </x:c>
      <x:c r="T32" s="69" t="str">
        <x:v>Update imports and retain the old tiff module as a wrapper when callers exist.</x:v>
      </x:c>
      <x:c r="U32" s="69" t="str"/>
      <x:c r="V32" s="69" t="str"/>
      <x:c r="W32" s="69" t="str"/>
      <x:c r="X32" s="72" t="n">
        <x:v>12106</x:v>
      </x:c>
      <x:c r="Y32" s="70" t="b">
        <x:v>1</x:v>
      </x:c>
      <x:c r="Z32" s="69" t="str">
        <x:v>Compatibility required</x:v>
      </x:c>
      <x:c r="AA32" s="69" t="str">
        <x:v>https://github.com/jwild2027/heico-ai-internship-summer-2026/blob/srv/tiff/incremental_state.py</x:v>
      </x:c>
      <x:c r="AB32" s="69" t="str">
        <x:v>shared &lt;= symbol:schema, string:helper; ingestion &lt;= path:tiff, symbol:tiff, string:tiff; ocr &lt;= string:ocr; tables &lt;= string:table; serving &lt;= import:sse, string:serve; referenced_by_count=1</x:v>
      </x:c>
    </x:row>
    <x:row r="33">
      <x:c r="A33" s="68" t="n">
        <x:v>32</x:v>
      </x:c>
      <x:c r="B33" s="69" t="str">
        <x:v>tiff/inventory.py</x:v>
      </x:c>
      <x:c r="C33" s="69" t="str">
        <x:v>inventory.py</x:v>
      </x:c>
      <x:c r="D33" s="69" t="str">
        <x:v>ingestion</x:v>
      </x:c>
      <x:c r="E33" s="69" t="str">
        <x:v>operations</x:v>
      </x:c>
      <x:c r="F33" s="69" t="str">
        <x:v>ingestion</x:v>
      </x:c>
      <x:c r="G33" s="69" t="str">
        <x:v>src/trace_net/ingestion/</x:v>
      </x:c>
      <x:c r="H33" s="69" t="str">
        <x:v>src/trace_net/ingestion/inventory.py</x:v>
      </x:c>
      <x:c r="I33" s="69" t="str">
        <x:v>active library module</x:v>
      </x:c>
      <x:c r="J33" s="69" t="str">
        <x:v>MOVE_WITH_PROTECTED_COMPATIBILITY_WRAPPER</x:v>
      </x:c>
      <x:c r="K33" s="70" t="b">
        <x:v>1</x:v>
      </x:c>
      <x:c r="L33" s="70" t="b">
        <x:v>1</x:v>
      </x:c>
      <x:c r="M33" s="70" t="b">
        <x:v>1</x:v>
      </x:c>
      <x:c r="N33" s="69" t="n">
        <x:v>4</x:v>
      </x:c>
      <x:c r="O33" s="69" t="n">
        <x:v>0</x:v>
      </x:c>
      <x:c r="P33" s="69" t="str">
        <x:v>scripts/inventory_tiffs.py; tests/unit/test_tiff_inventory.py; tiff/json_report.py; tiff/sqlite_store.py</x:v>
      </x:c>
      <x:c r="Q33" s="71" t="n">
        <x:v>0.95</x:v>
      </x:c>
      <x:c r="R33" s="69" t="str">
        <x:v>inventory stage: ingestion</x:v>
      </x:c>
      <x:c r="S33" s="69" t="str">
        <x:v>Primary implementation belongs to the ingestion stage based on filename, imports, and inventory evidence.</x:v>
      </x:c>
      <x:c r="T33" s="69" t="str">
        <x:v>Update imports and retain the old tiff module as a wrapper when callers exist.</x:v>
      </x:c>
      <x:c r="U33" s="69" t="str">
        <x:v>8601</x:v>
      </x:c>
      <x:c r="V33" s="69" t="str"/>
      <x:c r="W33" s="69" t="str"/>
      <x:c r="X33" s="72" t="n">
        <x:v>6171</x:v>
      </x:c>
      <x:c r="Y33" s="70" t="b">
        <x:v>1</x:v>
      </x:c>
      <x:c r="Z33" s="69" t="str">
        <x:v>Protected runtime</x:v>
      </x:c>
      <x:c r="AA33" s="69" t="str">
        <x:v>https://github.com/jwild2027/heico-ai-internship-summer-2026/blob/srv/tiff/inventory.py</x:v>
      </x:c>
      <x:c r="AB33" s="69" t="str">
        <x:v>shared &lt;= string:utilities; ingestion &lt;= path:inventory, path:tiff, symbol:inventory, symbol:tiff, string:convert, string:inventory, string:tiff; ocr &lt;= string:ocr; tables &lt;= string:table; serving &lt;= import:sse; operations &lt;= path:inventory, symbol:inventory, string:install, string:inventory</x:v>
      </x:c>
    </x:row>
    <x:row r="34">
      <x:c r="A34" s="68" t="n">
        <x:v>33</x:v>
      </x:c>
      <x:c r="B34" s="69" t="str">
        <x:v>tiff/json_report.py</x:v>
      </x:c>
      <x:c r="C34" s="69" t="str">
        <x:v>json_report.py</x:v>
      </x:c>
      <x:c r="D34" s="69" t="str">
        <x:v>ingestion</x:v>
      </x:c>
      <x:c r="E34" s="69" t="str"/>
      <x:c r="F34" s="69" t="str">
        <x:v>ingestion</x:v>
      </x:c>
      <x:c r="G34" s="69" t="str">
        <x:v>src/trace_net/ingestion/</x:v>
      </x:c>
      <x:c r="H34" s="69" t="str">
        <x:v>src/trace_net/ingestion/json_report.py</x:v>
      </x:c>
      <x:c r="I34" s="69" t="str">
        <x:v>active library module</x:v>
      </x:c>
      <x:c r="J34" s="69" t="str">
        <x:v>MOVE_WITH_IMPORT_UPDATES_AND_COMPATIBILITY_WRAPPER</x:v>
      </x:c>
      <x:c r="K34" s="70" t="b">
        <x:v>1</x:v>
      </x:c>
      <x:c r="L34" s="70" t="b">
        <x:v>0</x:v>
      </x:c>
      <x:c r="M34" s="70" t="b">
        <x:v>1</x:v>
      </x:c>
      <x:c r="N34" s="69" t="n">
        <x:v>6</x:v>
      </x:c>
      <x:c r="O34" s="69" t="n">
        <x:v>0</x:v>
      </x:c>
      <x:c r="P34" s="69" t="str">
        <x:v>scripts/batch_scan_tiffs_to_json.py; scripts/scan_changed_tiffs.py; scripts/scan_tiff_to_json.py; tests/unit/test_tiff_json_report.py; tests/unit/test_tiff_title_block_ocr.py; tiff_upload_scan.py</x:v>
      </x:c>
      <x:c r="Q34" s="71" t="n">
        <x:v>0.95</x:v>
      </x:c>
      <x:c r="R34" s="69" t="str">
        <x:v>inventory stage: ingestion</x:v>
      </x:c>
      <x:c r="S34" s="69" t="str">
        <x:v>Primary implementation belongs to the ingestion stage based on filename, imports, and inventory evidence.</x:v>
      </x:c>
      <x:c r="T34" s="69" t="str">
        <x:v>Update imports and retain the old tiff module as a wrapper when callers exist.</x:v>
      </x:c>
      <x:c r="U34" s="69" t="str"/>
      <x:c r="V34" s="69" t="str"/>
      <x:c r="W34" s="69" t="str"/>
      <x:c r="X34" s="72" t="n">
        <x:v>10188</x:v>
      </x:c>
      <x:c r="Y34" s="70" t="b">
        <x:v>1</x:v>
      </x:c>
      <x:c r="Z34" s="69" t="str">
        <x:v>Compatibility required</x:v>
      </x:c>
      <x:c r="AA34" s="69" t="str">
        <x:v>https://github.com/jwild2027/heico-ai-internship-summer-2026/blob/srv/tiff/json_report.py</x:v>
      </x:c>
      <x:c r="AB34" s="69" t="str">
        <x:v>shared &lt;= string:common, string:schema; ingestion &lt;= path:tiff, symbol:tiff, import:inventory, string:inventory, string:tiff; ocr &lt;= import:ocr, string:ocr, string:tesseract; visual &lt;= string:vision; tables &lt;= string:ipl, string:table; serving &lt;= import:sse, string:api, string:serve, string:sse</x:v>
      </x:c>
    </x:row>
    <x:row r="35">
      <x:c r="A35" s="68" t="n">
        <x:v>34</x:v>
      </x:c>
      <x:c r="B35" s="69" t="str">
        <x:v>tiff/local_config.py</x:v>
      </x:c>
      <x:c r="C35" s="69" t="str">
        <x:v>local_config.py</x:v>
      </x:c>
      <x:c r="D35" s="69" t="str">
        <x:v>ingestion</x:v>
      </x:c>
      <x:c r="E35" s="69" t="str"/>
      <x:c r="F35" s="69" t="str">
        <x:v>ingestion</x:v>
      </x:c>
      <x:c r="G35" s="69" t="str">
        <x:v>src/trace_net/ingestion/</x:v>
      </x:c>
      <x:c r="H35" s="69" t="str">
        <x:v>src/trace_net/ingestion/local_config.py</x:v>
      </x:c>
      <x:c r="I35" s="69" t="str">
        <x:v>active library module</x:v>
      </x:c>
      <x:c r="J35" s="69" t="str">
        <x:v>MOVE_WITH_PROTECTED_COMPATIBILITY_WRAPPER</x:v>
      </x:c>
      <x:c r="K35" s="70" t="b">
        <x:v>1</x:v>
      </x:c>
      <x:c r="L35" s="70" t="b">
        <x:v>1</x:v>
      </x:c>
      <x:c r="M35" s="70" t="b">
        <x:v>1</x:v>
      </x:c>
      <x:c r="N35" s="69" t="n">
        <x:v>19</x:v>
      </x:c>
      <x:c r="O35" s="69" t="n">
        <x:v>0</x:v>
      </x:c>
      <x:c r="P35" s="69" t="str">
        <x:v>scripts/ask_tiff_rag.py; scripts/audit_document_organization.py; scripts/audit_ocr_coverage.py; scripts/audit_source_links.py; scripts/build_rescarta_mapping.py; scripts/evaluate_rag_questions.py; scripts/export_document_organization.py; scripts/inspect_part_number.py; scripts/report_nomenclature_groups.py; scripts/report_non_part_reference_mentions.py; … +9 more</x:v>
      </x:c>
      <x:c r="Q35" s="71" t="n">
        <x:v>0.95</x:v>
      </x:c>
      <x:c r="R35" s="69" t="str">
        <x:v>inventory stage: ingestion</x:v>
      </x:c>
      <x:c r="S35" s="69" t="str">
        <x:v>Primary implementation belongs to the ingestion stage based on filename, imports, and inventory evidence.</x:v>
      </x:c>
      <x:c r="T35" s="69" t="str">
        <x:v>Update imports and retain the old tiff module as a wrapper when callers exist.</x:v>
      </x:c>
      <x:c r="U35" s="69" t="str">
        <x:v>11434</x:v>
      </x:c>
      <x:c r="V35" s="69" t="str"/>
      <x:c r="W35" s="69" t="str"/>
      <x:c r="X35" s="72" t="n">
        <x:v>4733</x:v>
      </x:c>
      <x:c r="Y35" s="70" t="b">
        <x:v>1</x:v>
      </x:c>
      <x:c r="Z35" s="69" t="str">
        <x:v>Protected runtime</x:v>
      </x:c>
      <x:c r="AA35" s="69" t="str">
        <x:v>https://github.com/jwild2027/heico-ai-internship-summer-2026/blob/srv/tiff/local_config.py</x:v>
      </x:c>
      <x:c r="AB35" s="69" t="str">
        <x:v>ingestion &lt;= path:tiff, string:tiff; embeddings &lt;= string:bge_m3, string:embedding; retrieval &lt;= string:retriev; llm_writing &lt;= string:gemma; serving &lt;= string:http, string:serve; benchmarks &lt;= string:eval</x:v>
      </x:c>
    </x:row>
    <x:row r="36">
      <x:c r="A36" s="68" t="n">
        <x:v>35</x:v>
      </x:c>
      <x:c r="B36" s="69" t="str">
        <x:v>tiff/manual_grouping.py</x:v>
      </x:c>
      <x:c r="C36" s="69" t="str">
        <x:v>manual_grouping.py</x:v>
      </x:c>
      <x:c r="D36" s="69" t="str">
        <x:v>ingestion</x:v>
      </x:c>
      <x:c r="E36" s="69" t="str">
        <x:v>shared</x:v>
      </x:c>
      <x:c r="F36" s="69" t="str">
        <x:v>ingestion</x:v>
      </x:c>
      <x:c r="G36" s="69" t="str">
        <x:v>src/trace_net/ingestion/</x:v>
      </x:c>
      <x:c r="H36" s="69" t="str">
        <x:v>src/trace_net/ingestion/manual_grouping.py</x:v>
      </x:c>
      <x:c r="I36" s="69" t="str">
        <x:v>active library module</x:v>
      </x:c>
      <x:c r="J36" s="69" t="str">
        <x:v>MOVE_WITH_IMPORT_UPDATES_AND_COMPATIBILITY_WRAPPER</x:v>
      </x:c>
      <x:c r="K36" s="70" t="b">
        <x:v>1</x:v>
      </x:c>
      <x:c r="L36" s="70" t="b">
        <x:v>0</x:v>
      </x:c>
      <x:c r="M36" s="70" t="b">
        <x:v>1</x:v>
      </x:c>
      <x:c r="N36" s="69" t="n">
        <x:v>2</x:v>
      </x:c>
      <x:c r="O36" s="69" t="n">
        <x:v>0</x:v>
      </x:c>
      <x:c r="P36" s="69" t="str">
        <x:v>scripts/group_tiff_manuals.py; tests/unit/test_tiff_manual_grouping.py</x:v>
      </x:c>
      <x:c r="Q36" s="71" t="n">
        <x:v>0.95</x:v>
      </x:c>
      <x:c r="R36" s="69" t="str">
        <x:v>inventory stage: ingestion</x:v>
      </x:c>
      <x:c r="S36" s="69" t="str">
        <x:v>Primary implementation belongs to the ingestion stage based on filename, imports, and inventory evidence.</x:v>
      </x:c>
      <x:c r="T36" s="69" t="str">
        <x:v>Update imports and retain the old tiff module as a wrapper when callers exist.</x:v>
      </x:c>
      <x:c r="U36" s="69" t="str"/>
      <x:c r="V36" s="69" t="str"/>
      <x:c r="W36" s="69" t="str"/>
      <x:c r="X36" s="72" t="n">
        <x:v>11893</x:v>
      </x:c>
      <x:c r="Y36" s="70" t="b">
        <x:v>1</x:v>
      </x:c>
      <x:c r="Z36" s="69" t="str">
        <x:v>Compatibility required</x:v>
      </x:c>
      <x:c r="AA36" s="69" t="str">
        <x:v>https://github.com/jwild2027/heico-ai-internship-summer-2026/blob/srv/tiff/manual_grouping.py</x:v>
      </x:c>
      <x:c r="AB36" s="69" t="str">
        <x:v>shared &lt;= symbol:common, string:identifier, string:schema; ingestion &lt;= path:tiff, string:tiff; ocr &lt;= string:ocr; visual &lt;= string:callout, string:vision; tables &lt;= string:table; serving &lt;= import:sse</x:v>
      </x:c>
    </x:row>
    <x:row r="37">
      <x:c r="A37" s="68" t="n">
        <x:v>36</x:v>
      </x:c>
      <x:c r="B37" s="69" t="str">
        <x:v>tiff/manual_metadata_parser.py</x:v>
      </x:c>
      <x:c r="C37" s="69" t="str">
        <x:v>manual_metadata_parser.py</x:v>
      </x:c>
      <x:c r="D37" s="69" t="str">
        <x:v>ingestion</x:v>
      </x:c>
      <x:c r="E37" s="69" t="str">
        <x:v>visual</x:v>
      </x:c>
      <x:c r="F37" s="69" t="str">
        <x:v>ingestion</x:v>
      </x:c>
      <x:c r="G37" s="69" t="str">
        <x:v>src/trace_net/ingestion/</x:v>
      </x:c>
      <x:c r="H37" s="69" t="str">
        <x:v>src/trace_net/ingestion/manual_metadata_parser.py</x:v>
      </x:c>
      <x:c r="I37" s="69" t="str">
        <x:v>active library module</x:v>
      </x:c>
      <x:c r="J37" s="69" t="str">
        <x:v>MOVE_WITH_IMPORT_UPDATES_AND_COMPATIBILITY_WRAPPER</x:v>
      </x:c>
      <x:c r="K37" s="70" t="b">
        <x:v>1</x:v>
      </x:c>
      <x:c r="L37" s="70" t="b">
        <x:v>0</x:v>
      </x:c>
      <x:c r="M37" s="70" t="b">
        <x:v>1</x:v>
      </x:c>
      <x:c r="N37" s="69" t="n">
        <x:v>5</x:v>
      </x:c>
      <x:c r="O37" s="69" t="n">
        <x:v>0</x:v>
      </x:c>
      <x:c r="P37" s="69" t="str">
        <x:v>tests/unit/test_tiff_document_classifier.py; tests/unit/test_tiff_manual_metadata_parser.py; tests/unit/test_tiff_manual_page_types.py; tiff/document_classifier.py; tiff/json_report.py</x:v>
      </x:c>
      <x:c r="Q37" s="71" t="n">
        <x:v>0.95</x:v>
      </x:c>
      <x:c r="R37" s="69" t="str">
        <x:v>inventory stage: ingestion</x:v>
      </x:c>
      <x:c r="S37" s="69" t="str">
        <x:v>Primary implementation belongs to the ingestion stage based on filename, imports, and inventory evidence.</x:v>
      </x:c>
      <x:c r="T37" s="69" t="str">
        <x:v>Update imports and retain the old tiff module as a wrapper when callers exist.</x:v>
      </x:c>
      <x:c r="U37" s="69" t="str"/>
      <x:c r="V37" s="69" t="str"/>
      <x:c r="W37" s="69" t="str"/>
      <x:c r="X37" s="72" t="n">
        <x:v>17185</x:v>
      </x:c>
      <x:c r="Y37" s="70" t="b">
        <x:v>1</x:v>
      </x:c>
      <x:c r="Z37" s="69" t="str">
        <x:v>Compatibility required</x:v>
      </x:c>
      <x:c r="AA37" s="69" t="str">
        <x:v>https://github.com/jwild2027/heico-ai-internship-summer-2026/blob/srv/tiff/manual_metadata_parser.py</x:v>
      </x:c>
      <x:c r="AB37" s="69" t="str">
        <x:v>ingestion &lt;= path:tiff, string:tiff; ocr &lt;= string:ocr; visual &lt;= symbol:callout, symbol:vision, string:vision; tables &lt;= string:ipl, string:parts_list; serving &lt;= import:sse; referenced_by_count=1</x:v>
      </x:c>
    </x:row>
    <x:row r="38">
      <x:c r="A38" s="68" t="n">
        <x:v>37</x:v>
      </x:c>
      <x:c r="B38" s="69" t="str">
        <x:v>tiff/metadata_parser.py</x:v>
      </x:c>
      <x:c r="C38" s="69" t="str">
        <x:v>metadata_parser.py</x:v>
      </x:c>
      <x:c r="D38" s="69" t="str">
        <x:v>ingestion</x:v>
      </x:c>
      <x:c r="E38" s="69" t="str">
        <x:v>ocr</x:v>
      </x:c>
      <x:c r="F38" s="69" t="str">
        <x:v>ingestion</x:v>
      </x:c>
      <x:c r="G38" s="69" t="str">
        <x:v>src/trace_net/ingestion/</x:v>
      </x:c>
      <x:c r="H38" s="69" t="str">
        <x:v>src/trace_net/ingestion/metadata_parser.py</x:v>
      </x:c>
      <x:c r="I38" s="69" t="str">
        <x:v>active library module</x:v>
      </x:c>
      <x:c r="J38" s="69" t="str">
        <x:v>MOVE_WITH_IMPORT_UPDATES_AND_COMPATIBILITY_WRAPPER</x:v>
      </x:c>
      <x:c r="K38" s="70" t="b">
        <x:v>1</x:v>
      </x:c>
      <x:c r="L38" s="70" t="b">
        <x:v>0</x:v>
      </x:c>
      <x:c r="M38" s="70" t="b">
        <x:v>1</x:v>
      </x:c>
      <x:c r="N38" s="69" t="n">
        <x:v>8</x:v>
      </x:c>
      <x:c r="O38" s="69" t="n">
        <x:v>0</x:v>
      </x:c>
      <x:c r="P38" s="69" t="str">
        <x:v>scripts/inventory_tiffs.py; tests/unit/test_tiff_document_classifier.py; tests/unit/test_tiff_metadata_parser.py; tests/unit/test_tiff_title_block_ocr.py; tiff/document_classifier.py; tiff/json_report.py; tiff/manual_metadata_parser.py; tiff/sqlite_store.py</x:v>
      </x:c>
      <x:c r="Q38" s="71" t="n">
        <x:v>0.95</x:v>
      </x:c>
      <x:c r="R38" s="69" t="str">
        <x:v>inventory stage: ingestion</x:v>
      </x:c>
      <x:c r="S38" s="69" t="str">
        <x:v>Primary implementation belongs to the ingestion stage based on filename, imports, and inventory evidence.</x:v>
      </x:c>
      <x:c r="T38" s="69" t="str">
        <x:v>Update imports and retain the old tiff module as a wrapper when callers exist.</x:v>
      </x:c>
      <x:c r="U38" s="69" t="str"/>
      <x:c r="V38" s="69" t="str"/>
      <x:c r="W38" s="69" t="str"/>
      <x:c r="X38" s="72" t="n">
        <x:v>5563</x:v>
      </x:c>
      <x:c r="Y38" s="70" t="b">
        <x:v>1</x:v>
      </x:c>
      <x:c r="Z38" s="69" t="str">
        <x:v>Compatibility required</x:v>
      </x:c>
      <x:c r="AA38" s="69" t="str">
        <x:v>https://github.com/jwild2027/heico-ai-internship-summer-2026/blob/srv/tiff/metadata_parser.py</x:v>
      </x:c>
      <x:c r="AB38" s="69" t="str">
        <x:v>shared &lt;= string:common; ingestion &lt;= path:tiff, string:tiff; ocr &lt;= symbol:ocr, string:ocr; visual &lt;= symbol:vision, string:vision; tables &lt;= string:table; serving &lt;= import:sse</x:v>
      </x:c>
    </x:row>
    <x:row r="39">
      <x:c r="A39" s="68" t="n">
        <x:v>38</x:v>
      </x:c>
      <x:c r="B39" s="69" t="str">
        <x:v>tiff/ocr_cleanup.py</x:v>
      </x:c>
      <x:c r="C39" s="69" t="str">
        <x:v>ocr_cleanup.py</x:v>
      </x:c>
      <x:c r="D39" s="69" t="str">
        <x:v>ingestion</x:v>
      </x:c>
      <x:c r="E39" s="69" t="str">
        <x:v>ocr, operations, shared, tables</x:v>
      </x:c>
      <x:c r="F39" s="69" t="str">
        <x:v>ocr</x:v>
      </x:c>
      <x:c r="G39" s="69" t="str">
        <x:v>src/trace_net/ocr/</x:v>
      </x:c>
      <x:c r="H39" s="69" t="str">
        <x:v>src/trace_net/ocr/ocr_cleanup.py</x:v>
      </x:c>
      <x:c r="I39" s="69" t="str">
        <x:v>active library module</x:v>
      </x:c>
      <x:c r="J39" s="69" t="str">
        <x:v>MOVE_WITH_IMPORT_UPDATES_AND_COMPATIBILITY_WRAPPER</x:v>
      </x:c>
      <x:c r="K39" s="70" t="b">
        <x:v>1</x:v>
      </x:c>
      <x:c r="L39" s="70" t="b">
        <x:v>0</x:v>
      </x:c>
      <x:c r="M39" s="70" t="b">
        <x:v>1</x:v>
      </x:c>
      <x:c r="N39" s="69" t="n">
        <x:v>7</x:v>
      </x:c>
      <x:c r="O39" s="69" t="n">
        <x:v>0</x:v>
      </x:c>
      <x:c r="P39" s="69" t="str">
        <x:v>scripts/clean_tiff_ocr.py; scripts/rebuild_clean_part_catalog.py; scripts/report_ocr_cleanup.py; tests/unit/test_tiff_ocr_cleanup.py; tiff/changed_page_backend.py; tiff/changed_page_update.py; tiff/part_catalog.py</x:v>
      </x:c>
      <x:c r="Q39" s="71" t="n">
        <x:v>0.95</x:v>
      </x:c>
      <x:c r="R39" s="69" t="str">
        <x:v>OCR/fishnet naming</x:v>
      </x:c>
      <x:c r="S39" s="69" t="str">
        <x:v>Primary implementation belongs to the ocr stage based on filename, imports, and inventory evidence.</x:v>
      </x:c>
      <x:c r="T39" s="69" t="str">
        <x:v>Update imports and retain the old tiff module as a wrapper when callers exist.</x:v>
      </x:c>
      <x:c r="U39" s="69" t="str"/>
      <x:c r="V39" s="69" t="str"/>
      <x:c r="W39" s="69" t="str"/>
      <x:c r="X39" s="72" t="n">
        <x:v>21350</x:v>
      </x:c>
      <x:c r="Y39" s="70" t="b">
        <x:v>1</x:v>
      </x:c>
      <x:c r="Z39" s="69" t="str">
        <x:v>Compatibility required</x:v>
      </x:c>
      <x:c r="AA39" s="69" t="str">
        <x:v>https://github.com/jwild2027/heico-ai-internship-summer-2026/blob/srv/tiff/ocr_cleanup.py</x:v>
      </x:c>
      <x:c r="AB39" s="69" t="str">
        <x:v>shared &lt;= symbol:schema, string:common, string:helper, string:schema; ingestion &lt;= path:tiff, import:tiff, string:tiff; ocr &lt;= path:ocr, symbol:ocr, string:ocr; tables &lt;= symbol:table, string:table; graph &lt;= string:nha; serving &lt;= import:sse</x:v>
      </x:c>
    </x:row>
    <x:row r="40">
      <x:c r="A40" s="68" t="n">
        <x:v>39</x:v>
      </x:c>
      <x:c r="B40" s="69" t="str">
        <x:v>tiff/ocr_coverage_audit.py</x:v>
      </x:c>
      <x:c r="C40" s="69" t="str">
        <x:v>ocr_coverage_audit.py</x:v>
      </x:c>
      <x:c r="D40" s="69" t="str">
        <x:v>ocr</x:v>
      </x:c>
      <x:c r="E40" s="69" t="str">
        <x:v>ingestion, tables</x:v>
      </x:c>
      <x:c r="F40" s="69" t="str">
        <x:v>ocr</x:v>
      </x:c>
      <x:c r="G40" s="69" t="str">
        <x:v>src/trace_net/ocr/</x:v>
      </x:c>
      <x:c r="H40" s="69" t="str">
        <x:v>src/trace_net/ocr/ocr_coverage_audit.py</x:v>
      </x:c>
      <x:c r="I40" s="69" t="str">
        <x:v>active library module</x:v>
      </x:c>
      <x:c r="J40" s="69" t="str">
        <x:v>MOVE_WITH_IMPORT_UPDATES_AND_COMPATIBILITY_WRAPPER</x:v>
      </x:c>
      <x:c r="K40" s="70" t="b">
        <x:v>1</x:v>
      </x:c>
      <x:c r="L40" s="70" t="b">
        <x:v>0</x:v>
      </x:c>
      <x:c r="M40" s="70" t="b">
        <x:v>1</x:v>
      </x:c>
      <x:c r="N40" s="69" t="n">
        <x:v>2</x:v>
      </x:c>
      <x:c r="O40" s="69" t="n">
        <x:v>0</x:v>
      </x:c>
      <x:c r="P40" s="69" t="str">
        <x:v>scripts/audit_ocr_coverage.py; tests/unit/test_tiff_ocr_coverage_audit.py</x:v>
      </x:c>
      <x:c r="Q40" s="71" t="n">
        <x:v>0.95</x:v>
      </x:c>
      <x:c r="R40" s="69" t="str">
        <x:v>OCR/fishnet naming</x:v>
      </x:c>
      <x:c r="S40" s="69" t="str">
        <x:v>Primary implementation belongs to the ocr stage based on filename, imports, and inventory evidence.</x:v>
      </x:c>
      <x:c r="T40" s="69" t="str">
        <x:v>Update imports and retain the old tiff module as a wrapper when callers exist.</x:v>
      </x:c>
      <x:c r="U40" s="69" t="str"/>
      <x:c r="V40" s="69" t="str"/>
      <x:c r="W40" s="69" t="str"/>
      <x:c r="X40" s="72" t="n">
        <x:v>11942</x:v>
      </x:c>
      <x:c r="Y40" s="70" t="b">
        <x:v>1</x:v>
      </x:c>
      <x:c r="Z40" s="69" t="str">
        <x:v>Compatibility required</x:v>
      </x:c>
      <x:c r="AA40" s="69" t="str">
        <x:v>https://github.com/jwild2027/heico-ai-internship-summer-2026/blob/srv/tiff/ocr_coverage_audit.py</x:v>
      </x:c>
      <x:c r="AB40" s="69" t="str">
        <x:v>shared &lt;= string:helper; ingestion &lt;= path:tiff, string:tiff; ocr &lt;= path:ocr, symbol:ocr, string:ocr; tables &lt;= symbol:table, string:table; serving &lt;= import:sse; referenced_by_count=1</x:v>
      </x:c>
    </x:row>
    <x:row r="41">
      <x:c r="A41" s="68" t="n">
        <x:v>40</x:v>
      </x:c>
      <x:c r="B41" s="69" t="str">
        <x:v>tiff/ocr_depth_audit.py</x:v>
      </x:c>
      <x:c r="C41" s="69" t="str">
        <x:v>ocr_depth_audit.py</x:v>
      </x:c>
      <x:c r="D41" s="69" t="str">
        <x:v>ocr</x:v>
      </x:c>
      <x:c r="E41" s="69" t="str">
        <x:v>ingestion, serving</x:v>
      </x:c>
      <x:c r="F41" s="69" t="str">
        <x:v>ocr</x:v>
      </x:c>
      <x:c r="G41" s="69" t="str">
        <x:v>src/trace_net/ocr/</x:v>
      </x:c>
      <x:c r="H41" s="69" t="str">
        <x:v>src/trace_net/ocr/ocr_depth_audit.py</x:v>
      </x:c>
      <x:c r="I41" s="69" t="str">
        <x:v>active library module</x:v>
      </x:c>
      <x:c r="J41" s="69" t="str">
        <x:v>MOVE_WITH_IMPORT_UPDATES_AND_COMPATIBILITY_WRAPPER</x:v>
      </x:c>
      <x:c r="K41" s="70" t="b">
        <x:v>1</x:v>
      </x:c>
      <x:c r="L41" s="70" t="b">
        <x:v>0</x:v>
      </x:c>
      <x:c r="M41" s="70" t="b">
        <x:v>1</x:v>
      </x:c>
      <x:c r="N41" s="69" t="n">
        <x:v>3</x:v>
      </x:c>
      <x:c r="O41" s="69" t="n">
        <x:v>0</x:v>
      </x:c>
      <x:c r="P41" s="69" t="str">
        <x:v>scripts/audit_ocr_depth.py; tests/unit/test_tiff_ocr_depth_audit.py; tiff/ocr_pilot.py</x:v>
      </x:c>
      <x:c r="Q41" s="71" t="n">
        <x:v>0.95</x:v>
      </x:c>
      <x:c r="R41" s="69" t="str">
        <x:v>OCR/fishnet naming</x:v>
      </x:c>
      <x:c r="S41" s="69" t="str">
        <x:v>Primary implementation belongs to the ocr stage based on filename, imports, and inventory evidence.</x:v>
      </x:c>
      <x:c r="T41" s="69" t="str">
        <x:v>Update imports and retain the old tiff module as a wrapper when callers exist.</x:v>
      </x:c>
      <x:c r="U41" s="69" t="str"/>
      <x:c r="V41" s="69" t="str"/>
      <x:c r="W41" s="69" t="str"/>
      <x:c r="X41" s="72" t="n">
        <x:v>20332</x:v>
      </x:c>
      <x:c r="Y41" s="70" t="b">
        <x:v>1</x:v>
      </x:c>
      <x:c r="Z41" s="69" t="str">
        <x:v>Compatibility required</x:v>
      </x:c>
      <x:c r="AA41" s="69" t="str">
        <x:v>https://github.com/jwild2027/heico-ai-internship-summer-2026/blob/srv/tiff/ocr_depth_audit.py</x:v>
      </x:c>
      <x:c r="AB41" s="69" t="str">
        <x:v>shared &lt;= string:utilities; ingestion &lt;= path:tiff, string:tiff; ocr &lt;= path:ocr, symbol:ocr, string:ocr; visual &lt;= string:vision; tables &lt;= string:table; graph &lt;= string:graph</x:v>
      </x:c>
    </x:row>
    <x:row r="42">
      <x:c r="A42" s="68" t="n">
        <x:v>41</x:v>
      </x:c>
      <x:c r="B42" s="69" t="str">
        <x:v>tiff/ocr_pilot.py</x:v>
      </x:c>
      <x:c r="C42" s="69" t="str">
        <x:v>ocr_pilot.py</x:v>
      </x:c>
      <x:c r="D42" s="69" t="str">
        <x:v>ocr</x:v>
      </x:c>
      <x:c r="E42" s="69" t="str">
        <x:v>ingestion, serving</x:v>
      </x:c>
      <x:c r="F42" s="69" t="str">
        <x:v>ocr</x:v>
      </x:c>
      <x:c r="G42" s="69" t="str">
        <x:v>src/trace_net/ocr/</x:v>
      </x:c>
      <x:c r="H42" s="69" t="str">
        <x:v>src/trace_net/ocr/ocr_pilot.py</x:v>
      </x:c>
      <x:c r="I42" s="69" t="str">
        <x:v>active library module</x:v>
      </x:c>
      <x:c r="J42" s="69" t="str">
        <x:v>MOVE_WITH_IMPORT_UPDATES_AND_COMPATIBILITY_WRAPPER</x:v>
      </x:c>
      <x:c r="K42" s="70" t="b">
        <x:v>1</x:v>
      </x:c>
      <x:c r="L42" s="70" t="b">
        <x:v>0</x:v>
      </x:c>
      <x:c r="M42" s="70" t="b">
        <x:v>1</x:v>
      </x:c>
      <x:c r="N42" s="69" t="n">
        <x:v>2</x:v>
      </x:c>
      <x:c r="O42" s="69" t="n">
        <x:v>0</x:v>
      </x:c>
      <x:c r="P42" s="69" t="str">
        <x:v>tests/unit/test_tiff_ocr_pilot.py; tiff/ocr_pilot_progress.py</x:v>
      </x:c>
      <x:c r="Q42" s="71" t="n">
        <x:v>0.95</x:v>
      </x:c>
      <x:c r="R42" s="69" t="str">
        <x:v>OCR/fishnet naming</x:v>
      </x:c>
      <x:c r="S42" s="69" t="str">
        <x:v>Primary implementation belongs to the ocr stage based on filename, imports, and inventory evidence.</x:v>
      </x:c>
      <x:c r="T42" s="69" t="str">
        <x:v>Update imports and retain the old tiff module as a wrapper when callers exist.</x:v>
      </x:c>
      <x:c r="U42" s="69" t="str"/>
      <x:c r="V42" s="69" t="str"/>
      <x:c r="W42" s="69" t="str"/>
      <x:c r="X42" s="72" t="n">
        <x:v>21104</x:v>
      </x:c>
      <x:c r="Y42" s="70" t="b">
        <x:v>1</x:v>
      </x:c>
      <x:c r="Z42" s="69" t="str">
        <x:v>Compatibility required</x:v>
      </x:c>
      <x:c r="AA42" s="69" t="str">
        <x:v>https://github.com/jwild2027/heico-ai-internship-summer-2026/blob/srv/tiff/ocr_pilot.py</x:v>
      </x:c>
      <x:c r="AB42" s="69" t="str">
        <x:v>shared &lt;= string:utilities; ingestion &lt;= path:tiff, symbol:tiff, import:tiff, string:tiff; ocr &lt;= path:ocr, symbol:ocr, symbol:tesseract, import:ocr, string:ocr, string:psm, string:tesseract; serving &lt;= symbol:sse, import:sse, string:sse; referenced_by_count=1; imported_by_count=2</x:v>
      </x:c>
    </x:row>
    <x:row r="43">
      <x:c r="A43" s="68" t="n">
        <x:v>42</x:v>
      </x:c>
      <x:c r="B43" s="69" t="str">
        <x:v>tiff/ocr_pilot_progress.py</x:v>
      </x:c>
      <x:c r="C43" s="69" t="str">
        <x:v>ocr_pilot_progress.py</x:v>
      </x:c>
      <x:c r="D43" s="69" t="str">
        <x:v>ocr</x:v>
      </x:c>
      <x:c r="E43" s="69" t="str">
        <x:v>ingestion, serving</x:v>
      </x:c>
      <x:c r="F43" s="69" t="str">
        <x:v>ocr</x:v>
      </x:c>
      <x:c r="G43" s="69" t="str">
        <x:v>src/trace_net/ocr/</x:v>
      </x:c>
      <x:c r="H43" s="69" t="str">
        <x:v>src/trace_net/ocr/ocr_pilot_progress.py</x:v>
      </x:c>
      <x:c r="I43" s="69" t="str">
        <x:v>active library module</x:v>
      </x:c>
      <x:c r="J43" s="69" t="str">
        <x:v>MOVE_WITH_IMPORT_UPDATES_AND_COMPATIBILITY_WRAPPER</x:v>
      </x:c>
      <x:c r="K43" s="70" t="b">
        <x:v>1</x:v>
      </x:c>
      <x:c r="L43" s="70" t="b">
        <x:v>0</x:v>
      </x:c>
      <x:c r="M43" s="70" t="b">
        <x:v>1</x:v>
      </x:c>
      <x:c r="N43" s="69" t="n">
        <x:v>2</x:v>
      </x:c>
      <x:c r="O43" s="69" t="n">
        <x:v>0</x:v>
      </x:c>
      <x:c r="P43" s="69" t="str">
        <x:v>scripts/run_ocr_pilot.py; tests/unit/test_tiff_ocr_pilot_progress.py</x:v>
      </x:c>
      <x:c r="Q43" s="71" t="n">
        <x:v>0.95</x:v>
      </x:c>
      <x:c r="R43" s="69" t="str">
        <x:v>OCR/fishnet naming</x:v>
      </x:c>
      <x:c r="S43" s="69" t="str">
        <x:v>Primary implementation belongs to the ocr stage based on filename, imports, and inventory evidence.</x:v>
      </x:c>
      <x:c r="T43" s="69" t="str">
        <x:v>Update imports and retain the old tiff module as a wrapper when callers exist.</x:v>
      </x:c>
      <x:c r="U43" s="69" t="str"/>
      <x:c r="V43" s="69" t="str"/>
      <x:c r="W43" s="69" t="str"/>
      <x:c r="X43" s="72" t="n">
        <x:v>10438</x:v>
      </x:c>
      <x:c r="Y43" s="70" t="b">
        <x:v>1</x:v>
      </x:c>
      <x:c r="Z43" s="69" t="str">
        <x:v>Compatibility required</x:v>
      </x:c>
      <x:c r="AA43" s="69" t="str">
        <x:v>https://github.com/jwild2027/heico-ai-internship-summer-2026/blob/srv/tiff/ocr_pilot_progress.py</x:v>
      </x:c>
      <x:c r="AB43" s="69" t="str">
        <x:v>shared &lt;= string:helper; ingestion &lt;= path:tiff, import:tiff, string:tiff; ocr &lt;= path:ocr, symbol:ocr, symbol:tesseract, import:ocr, string:ocr, string:psm, string:tesseract; serving &lt;= symbol:sse, import:sse, string:sse; referenced_by_count=1; imported_by_count=2</x:v>
      </x:c>
    </x:row>
    <x:row r="44">
      <x:c r="A44" s="68" t="n">
        <x:v>43</x:v>
      </x:c>
      <x:c r="B44" s="69" t="str">
        <x:v>tiff/ollama_client.py</x:v>
      </x:c>
      <x:c r="C44" s="69" t="str">
        <x:v>ollama_client.py</x:v>
      </x:c>
      <x:c r="D44" s="69" t="str">
        <x:v>ingestion</x:v>
      </x:c>
      <x:c r="E44" s="69" t="str">
        <x:v>serving</x:v>
      </x:c>
      <x:c r="F44" s="69" t="str">
        <x:v>ingestion</x:v>
      </x:c>
      <x:c r="G44" s="69" t="str">
        <x:v>src/trace_net/ingestion/</x:v>
      </x:c>
      <x:c r="H44" s="69" t="str">
        <x:v>src/trace_net/ingestion/ollama_client.py</x:v>
      </x:c>
      <x:c r="I44" s="69" t="str">
        <x:v>active library module</x:v>
      </x:c>
      <x:c r="J44" s="69" t="str">
        <x:v>MOVE_WITH_PROTECTED_COMPATIBILITY_WRAPPER</x:v>
      </x:c>
      <x:c r="K44" s="70" t="b">
        <x:v>1</x:v>
      </x:c>
      <x:c r="L44" s="70" t="b">
        <x:v>1</x:v>
      </x:c>
      <x:c r="M44" s="70" t="b">
        <x:v>1</x:v>
      </x:c>
      <x:c r="N44" s="69" t="n">
        <x:v>7</x:v>
      </x:c>
      <x:c r="O44" s="69" t="n">
        <x:v>0</x:v>
      </x:c>
      <x:c r="P44" s="69" t="str">
        <x:v>scripts/ask_tiff_rag.py; scripts/build_rag_embeddings.py; scripts/evaluate_rag_questions.py; scripts/serve_tiff_rag_ui.py; tiff/rag_answer.py; tiff/rag_retriever.py; tiff/rag_web_ui.py</x:v>
      </x:c>
      <x:c r="Q44" s="71" t="n">
        <x:v>0.95</x:v>
      </x:c>
      <x:c r="R44" s="69" t="str">
        <x:v>inventory stage: ingestion</x:v>
      </x:c>
      <x:c r="S44" s="69" t="str">
        <x:v>Primary implementation belongs to the ingestion stage based on filename, imports, and inventory evidence.</x:v>
      </x:c>
      <x:c r="T44" s="69" t="str">
        <x:v>Update imports and retain the old tiff module as a wrapper when callers exist.</x:v>
      </x:c>
      <x:c r="U44" s="69" t="str">
        <x:v>11434</x:v>
      </x:c>
      <x:c r="V44" s="69" t="str"/>
      <x:c r="W44" s="69" t="str"/>
      <x:c r="X44" s="72" t="n">
        <x:v>4076</x:v>
      </x:c>
      <x:c r="Y44" s="70" t="b">
        <x:v>1</x:v>
      </x:c>
      <x:c r="Z44" s="69" t="str">
        <x:v>Protected runtime</x:v>
      </x:c>
      <x:c r="AA44" s="69" t="str">
        <x:v>https://github.com/jwild2027/heico-ai-internship-summer-2026/blob/srv/tiff/ollama_client.py</x:v>
      </x:c>
      <x:c r="AB44" s="69" t="str">
        <x:v>ingestion &lt;= path:tiff, string:tiff; embeddings &lt;= string:embedding; serving &lt;= import:sse, string:api, string:endpoint, string:http, string:serve; declares runtime ports: [11434]; referenced_by_count=2; imported_by_count=7</x:v>
      </x:c>
    </x:row>
    <x:row r="45">
      <x:c r="A45" s="68" t="n">
        <x:v>44</x:v>
      </x:c>
      <x:c r="B45" s="69" t="str">
        <x:v>tiff/page_context.py</x:v>
      </x:c>
      <x:c r="C45" s="69" t="str">
        <x:v>page_context.py</x:v>
      </x:c>
      <x:c r="D45" s="69" t="str">
        <x:v>context</x:v>
      </x:c>
      <x:c r="E45" s="69" t="str">
        <x:v>ingestion, serving</x:v>
      </x:c>
      <x:c r="F45" s="69" t="str">
        <x:v>context</x:v>
      </x:c>
      <x:c r="G45" s="69" t="str">
        <x:v>src/trace_net/context/</x:v>
      </x:c>
      <x:c r="H45" s="69" t="str">
        <x:v>src/trace_net/context/page_context.py</x:v>
      </x:c>
      <x:c r="I45" s="69" t="str">
        <x:v>active library module</x:v>
      </x:c>
      <x:c r="J45" s="69" t="str">
        <x:v>MOVE_WITH_PROTECTED_COMPATIBILITY_WRAPPER</x:v>
      </x:c>
      <x:c r="K45" s="70" t="b">
        <x:v>1</x:v>
      </x:c>
      <x:c r="L45" s="70" t="b">
        <x:v>1</x:v>
      </x:c>
      <x:c r="M45" s="70" t="b">
        <x:v>1</x:v>
      </x:c>
      <x:c r="N45" s="69" t="n">
        <x:v>3</x:v>
      </x:c>
      <x:c r="O45" s="69" t="n">
        <x:v>0</x:v>
      </x:c>
      <x:c r="P45" s="69" t="str">
        <x:v>scripts/generate_page_contexts.py; tests/unit/test_tiff_page_context_graph.py; tests/unit/test_tiff_page_context_progress.py</x:v>
      </x:c>
      <x:c r="Q45" s="71" t="n">
        <x:v>0.95</x:v>
      </x:c>
      <x:c r="R45" s="69" t="str">
        <x:v>context/evidence naming</x:v>
      </x:c>
      <x:c r="S45" s="69" t="str">
        <x:v>Primary implementation belongs to the context stage based on filename, imports, and inventory evidence.</x:v>
      </x:c>
      <x:c r="T45" s="69" t="str">
        <x:v>Update imports and retain the old tiff module as a wrapper when callers exist.</x:v>
      </x:c>
      <x:c r="U45" s="69" t="str">
        <x:v>11434</x:v>
      </x:c>
      <x:c r="V45" s="69" t="str"/>
      <x:c r="W45" s="69" t="str"/>
      <x:c r="X45" s="72" t="n">
        <x:v>24913</x:v>
      </x:c>
      <x:c r="Y45" s="70" t="b">
        <x:v>1</x:v>
      </x:c>
      <x:c r="Z45" s="69" t="str">
        <x:v>Protected runtime</x:v>
      </x:c>
      <x:c r="AA45" s="69" t="str">
        <x:v>https://github.com/jwild2027/heico-ai-internship-summer-2026/blob/srv/tiff/page_context.py</x:v>
      </x:c>
      <x:c r="AB45" s="69" t="str">
        <x:v>shared &lt;= string:schema; ingestion &lt;= path:tiff, symbol:tiff, string:tiff; ocr &lt;= symbol:ocr, string:ocr; tables &lt;= string:parts_list, string:table; graph &lt;= string:graph, string:has_context; context &lt;= path:page_context, symbol:page_context, string:page_context</x:v>
      </x:c>
    </x:row>
    <x:row r="46">
      <x:c r="A46" s="68" t="n">
        <x:v>45</x:v>
      </x:c>
      <x:c r="B46" s="69" t="str">
        <x:v>tiff/page_context_inspector.py</x:v>
      </x:c>
      <x:c r="C46" s="69" t="str">
        <x:v>page_context_inspector.py</x:v>
      </x:c>
      <x:c r="D46" s="69" t="str">
        <x:v>context</x:v>
      </x:c>
      <x:c r="E46" s="69" t="str">
        <x:v>ingestion, graph</x:v>
      </x:c>
      <x:c r="F46" s="69" t="str">
        <x:v>context</x:v>
      </x:c>
      <x:c r="G46" s="69" t="str">
        <x:v>src/trace_net/context/</x:v>
      </x:c>
      <x:c r="H46" s="69" t="str">
        <x:v>src/trace_net/context/page_context_inspector.py</x:v>
      </x:c>
      <x:c r="I46" s="69" t="str">
        <x:v>active library module</x:v>
      </x:c>
      <x:c r="J46" s="69" t="str">
        <x:v>MOVE_WITH_IMPORT_UPDATES_AND_COMPATIBILITY_WRAPPER</x:v>
      </x:c>
      <x:c r="K46" s="70" t="b">
        <x:v>1</x:v>
      </x:c>
      <x:c r="L46" s="70" t="b">
        <x:v>0</x:v>
      </x:c>
      <x:c r="M46" s="70" t="b">
        <x:v>1</x:v>
      </x:c>
      <x:c r="N46" s="69" t="n">
        <x:v>3</x:v>
      </x:c>
      <x:c r="O46" s="69" t="n">
        <x:v>0</x:v>
      </x:c>
      <x:c r="P46" s="69" t="str">
        <x:v>scripts/inspect_page_contexts.py; tests/unit/test_tiff_page_context_inspector.py; tests/unit/test_tiff_page_context_progress.py</x:v>
      </x:c>
      <x:c r="Q46" s="71" t="n">
        <x:v>0.95</x:v>
      </x:c>
      <x:c r="R46" s="69" t="str">
        <x:v>context/evidence naming</x:v>
      </x:c>
      <x:c r="S46" s="69" t="str">
        <x:v>Primary implementation belongs to the context stage based on filename, imports, and inventory evidence.</x:v>
      </x:c>
      <x:c r="T46" s="69" t="str">
        <x:v>Update imports and retain the old tiff module as a wrapper when callers exist.</x:v>
      </x:c>
      <x:c r="U46" s="69" t="str"/>
      <x:c r="V46" s="69" t="str"/>
      <x:c r="W46" s="69" t="str"/>
      <x:c r="X46" s="72" t="n">
        <x:v>11178</x:v>
      </x:c>
      <x:c r="Y46" s="70" t="b">
        <x:v>1</x:v>
      </x:c>
      <x:c r="Z46" s="69" t="str">
        <x:v>Compatibility required</x:v>
      </x:c>
      <x:c r="AA46" s="69" t="str">
        <x:v>https://github.com/jwild2027/heico-ai-internship-summer-2026/blob/srv/tiff/page_context_inspector.py</x:v>
      </x:c>
      <x:c r="AB46" s="69" t="str">
        <x:v>ingestion &lt;= path:tiff; graph &lt;= symbol:graph, string:graph, string:has_context; context &lt;= path:page_context, symbol:page_context, string:page_context; serving &lt;= import:sse; referenced_by_count=1; imported_by_count=3</x:v>
      </x:c>
    </x:row>
    <x:row r="47">
      <x:c r="A47" s="68" t="n">
        <x:v>46</x:v>
      </x:c>
      <x:c r="B47" s="69" t="str">
        <x:v>tiff/page_context_v2.py</x:v>
      </x:c>
      <x:c r="C47" s="69" t="str">
        <x:v>page_context_v2.py</x:v>
      </x:c>
      <x:c r="D47" s="69" t="str">
        <x:v>context</x:v>
      </x:c>
      <x:c r="E47" s="69" t="str">
        <x:v>ingestion, serving, shared, ocr</x:v>
      </x:c>
      <x:c r="F47" s="69" t="str">
        <x:v>context</x:v>
      </x:c>
      <x:c r="G47" s="69" t="str">
        <x:v>src/trace_net/context/</x:v>
      </x:c>
      <x:c r="H47" s="69" t="str">
        <x:v>src/trace_net/context/page_context_v2.py</x:v>
      </x:c>
      <x:c r="I47" s="69" t="str">
        <x:v>active library module</x:v>
      </x:c>
      <x:c r="J47" s="69" t="str">
        <x:v>MOVE_WITH_PROTECTED_COMPATIBILITY_WRAPPER</x:v>
      </x:c>
      <x:c r="K47" s="70" t="b">
        <x:v>1</x:v>
      </x:c>
      <x:c r="L47" s="70" t="b">
        <x:v>1</x:v>
      </x:c>
      <x:c r="M47" s="70" t="b">
        <x:v>1</x:v>
      </x:c>
      <x:c r="N47" s="69" t="n">
        <x:v>2</x:v>
      </x:c>
      <x:c r="O47" s="69" t="n">
        <x:v>0</x:v>
      </x:c>
      <x:c r="P47" s="69" t="str">
        <x:v>scripts/generate_page_contexts_v2.py; tests/unit/test_tiff_page_context_v2.py</x:v>
      </x:c>
      <x:c r="Q47" s="71" t="n">
        <x:v>0.95</x:v>
      </x:c>
      <x:c r="R47" s="69" t="str">
        <x:v>context/evidence naming</x:v>
      </x:c>
      <x:c r="S47" s="69" t="str">
        <x:v>Primary implementation belongs to the context stage based on filename, imports, and inventory evidence.</x:v>
      </x:c>
      <x:c r="T47" s="69" t="str">
        <x:v>Update imports and retain the old tiff module as a wrapper when callers exist.</x:v>
      </x:c>
      <x:c r="U47" s="69" t="str">
        <x:v>11434</x:v>
      </x:c>
      <x:c r="V47" s="69" t="str"/>
      <x:c r="W47" s="69" t="str"/>
      <x:c r="X47" s="72" t="n">
        <x:v>28498</x:v>
      </x:c>
      <x:c r="Y47" s="70" t="b">
        <x:v>1</x:v>
      </x:c>
      <x:c r="Z47" s="69" t="str">
        <x:v>Protected runtime</x:v>
      </x:c>
      <x:c r="AA47" s="69" t="str">
        <x:v>https://github.com/jwild2027/heico-ai-internship-summer-2026/blob/srv/tiff/page_context_v2.py</x:v>
      </x:c>
      <x:c r="AB47" s="69" t="str">
        <x:v>shared &lt;= symbol:schema, string:helper; ingestion &lt;= path:tiff; ocr &lt;= symbol:ocr, string:ocr; visual &lt;= string:callout, string:diagram, string:vision; tables &lt;= string:parts_list, string:table, string:tabula; retrieval &lt;= string:retriev</x:v>
      </x:c>
    </x:row>
    <x:row r="48">
      <x:c r="A48" s="68" t="n">
        <x:v>47</x:v>
      </x:c>
      <x:c r="B48" s="69" t="str">
        <x:v>tiff/page_context_v2_quality.py</x:v>
      </x:c>
      <x:c r="C48" s="69" t="str">
        <x:v>page_context_v2_quality.py</x:v>
      </x:c>
      <x:c r="D48" s="69" t="str">
        <x:v>context</x:v>
      </x:c>
      <x:c r="E48" s="69" t="str">
        <x:v>ingestion</x:v>
      </x:c>
      <x:c r="F48" s="69" t="str">
        <x:v>validation</x:v>
      </x:c>
      <x:c r="G48" s="69" t="str">
        <x:v>src/trace_net/validation/</x:v>
      </x:c>
      <x:c r="H48" s="69" t="str">
        <x:v>src/trace_net/validation/page_context_v2_quality.py</x:v>
      </x:c>
      <x:c r="I48" s="69" t="str">
        <x:v>quality validator module</x:v>
      </x:c>
      <x:c r="J48" s="69" t="str">
        <x:v>MOVE_WITH_IMPORT_UPDATES_AND_COMPATIBILITY_WRAPPER</x:v>
      </x:c>
      <x:c r="K48" s="70" t="b">
        <x:v>1</x:v>
      </x:c>
      <x:c r="L48" s="70" t="b">
        <x:v>0</x:v>
      </x:c>
      <x:c r="M48" s="70" t="b">
        <x:v>1</x:v>
      </x:c>
      <x:c r="N48" s="69" t="n">
        <x:v>2</x:v>
      </x:c>
      <x:c r="O48" s="69" t="n">
        <x:v>0</x:v>
      </x:c>
      <x:c r="P48" s="69" t="str">
        <x:v>scripts/check_page_contexts_v2_quality.py; tests/unit/test_tiff_page_context_v2_quality.py</x:v>
      </x:c>
      <x:c r="Q48" s="71" t="n">
        <x:v>0.97</x:v>
      </x:c>
      <x:c r="R48" s="69" t="str">
        <x:v>context/evidence naming</x:v>
      </x:c>
      <x:c r="S48" s="69" t="str">
        <x:v>Quality logic is reusable source code for the context stage.</x:v>
      </x:c>
      <x:c r="T48" s="69" t="str">
        <x:v>Update test and script imports; retain the old tiff import as a thin wrapper until PASS.</x:v>
      </x:c>
      <x:c r="U48" s="69" t="str"/>
      <x:c r="V48" s="69" t="str"/>
      <x:c r="W48" s="69" t="str"/>
      <x:c r="X48" s="72" t="n">
        <x:v>6486</x:v>
      </x:c>
      <x:c r="Y48" s="70" t="b">
        <x:v>1</x:v>
      </x:c>
      <x:c r="Z48" s="69" t="str">
        <x:v>Compatibility required</x:v>
      </x:c>
      <x:c r="AA48" s="69" t="str">
        <x:v>https://github.com/jwild2027/heico-ai-internship-summer-2026/blob/srv/tiff/page_context_v2_quality.py</x:v>
      </x:c>
      <x:c r="AB48" s="69" t="str">
        <x:v>ingestion &lt;= path:tiff; ocr &lt;= string:ocr; retrieval &lt;= string:retriev; context &lt;= path:page_context, string:page_context; benchmarks &lt;= string:eval; referenced_by_count=2</x:v>
      </x:c>
    </x:row>
    <x:row r="49">
      <x:c r="A49" s="68" t="n">
        <x:v>48</x:v>
      </x:c>
      <x:c r="B49" s="69" t="str">
        <x:v>tiff/page_image_recognition.py</x:v>
      </x:c>
      <x:c r="C49" s="69" t="str">
        <x:v>page_image_recognition.py</x:v>
      </x:c>
      <x:c r="D49" s="69" t="str">
        <x:v>ingestion</x:v>
      </x:c>
      <x:c r="E49" s="69" t="str"/>
      <x:c r="F49" s="69" t="str">
        <x:v>visual</x:v>
      </x:c>
      <x:c r="G49" s="69" t="str">
        <x:v>src/trace_net/visual/</x:v>
      </x:c>
      <x:c r="H49" s="69" t="str">
        <x:v>src/trace_net/visual/page_image_recognition.py</x:v>
      </x:c>
      <x:c r="I49" s="69" t="str">
        <x:v>active library module</x:v>
      </x:c>
      <x:c r="J49" s="69" t="str">
        <x:v>MOVE_WITH_IMPORT_UPDATES_AND_COMPATIBILITY_WRAPPER</x:v>
      </x:c>
      <x:c r="K49" s="70" t="b">
        <x:v>1</x:v>
      </x:c>
      <x:c r="L49" s="70" t="b">
        <x:v>0</x:v>
      </x:c>
      <x:c r="M49" s="70" t="b">
        <x:v>1</x:v>
      </x:c>
      <x:c r="N49" s="69" t="n">
        <x:v>3</x:v>
      </x:c>
      <x:c r="O49" s="69" t="n">
        <x:v>1</x:v>
      </x:c>
      <x:c r="P49" s="69" t="str">
        <x:v>scripts/audit_page_image_recognition.py; tests/unit/test_tiff_page_image_recognition.py; tests/unit/test_tiff_page_image_role_fix.py; tools/patch_archive/apply_page_image_role_fix.py</x:v>
      </x:c>
      <x:c r="Q49" s="71" t="n">
        <x:v>0.95</x:v>
      </x:c>
      <x:c r="R49" s="69" t="str">
        <x:v>visual/image/vision naming</x:v>
      </x:c>
      <x:c r="S49" s="69" t="str">
        <x:v>Primary implementation belongs to the visual stage based on filename, imports, and inventory evidence.</x:v>
      </x:c>
      <x:c r="T49" s="69" t="str">
        <x:v>Update imports and retain the old tiff module as a wrapper when callers exist.</x:v>
      </x:c>
      <x:c r="U49" s="69" t="str"/>
      <x:c r="V49" s="69" t="str"/>
      <x:c r="W49" s="69" t="str"/>
      <x:c r="X49" s="72" t="n">
        <x:v>24396</x:v>
      </x:c>
      <x:c r="Y49" s="70" t="b">
        <x:v>1</x:v>
      </x:c>
      <x:c r="Z49" s="69" t="str">
        <x:v>Compatibility required</x:v>
      </x:c>
      <x:c r="AA49" s="69" t="str">
        <x:v>https://github.com/jwild2027/heico-ai-internship-summer-2026/blob/srv/tiff/page_image_recognition.py</x:v>
      </x:c>
      <x:c r="AB49" s="69" t="str">
        <x:v>ingestion &lt;= path:page_image, path:tiff, symbol:page_image, string:page_image, string:tiff; ocr &lt;= string:ocr; visual &lt;= string:diagram, string:vision, string:visual; tables &lt;= string:parts_list, string:table; graph &lt;= symbol:graph, string:graph; context &lt;= string:page_context</x:v>
      </x:c>
    </x:row>
    <x:row r="50">
      <x:c r="A50" s="68" t="n">
        <x:v>49</x:v>
      </x:c>
      <x:c r="B50" s="69" t="str">
        <x:v>tiff/page_image_recognition_quality.py</x:v>
      </x:c>
      <x:c r="C50" s="69" t="str">
        <x:v>page_image_recognition_quality.py</x:v>
      </x:c>
      <x:c r="D50" s="69" t="str">
        <x:v>ingestion</x:v>
      </x:c>
      <x:c r="E50" s="69" t="str">
        <x:v>serving</x:v>
      </x:c>
      <x:c r="F50" s="69" t="str">
        <x:v>visual</x:v>
      </x:c>
      <x:c r="G50" s="69" t="str">
        <x:v>src/trace_net/visual/quality/</x:v>
      </x:c>
      <x:c r="H50" s="69" t="str">
        <x:v>src/trace_net/visual/quality/page_image_recognition_quality.py</x:v>
      </x:c>
      <x:c r="I50" s="69" t="str">
        <x:v>quality validator module</x:v>
      </x:c>
      <x:c r="J50" s="69" t="str">
        <x:v>MOVE_WITH_IMPORT_UPDATES_AND_COMPATIBILITY_WRAPPER</x:v>
      </x:c>
      <x:c r="K50" s="70" t="b">
        <x:v>1</x:v>
      </x:c>
      <x:c r="L50" s="70" t="b">
        <x:v>0</x:v>
      </x:c>
      <x:c r="M50" s="70" t="b">
        <x:v>1</x:v>
      </x:c>
      <x:c r="N50" s="69" t="n">
        <x:v>3</x:v>
      </x:c>
      <x:c r="O50" s="69" t="n">
        <x:v>2</x:v>
      </x:c>
      <x:c r="P50" s="69" t="str">
        <x:v>scripts/check_page_image_recognition_quality.py; tests/unit/test_tiff_page_image_quality_parser_current_shape.py; tests/unit/test_tiff_page_image_recognition_quality.py; tools/patch_archive/apply_page_image_quality_dual_api_fix.py; tools/patch_archive/apply_page_image_quality_public_api_fix.py</x:v>
      </x:c>
      <x:c r="Q50" s="71" t="n">
        <x:v>0.97</x:v>
      </x:c>
      <x:c r="R50" s="69" t="str">
        <x:v>visual/image/vision naming</x:v>
      </x:c>
      <x:c r="S50" s="69" t="str">
        <x:v>Quality logic is reusable source code for the visual stage.</x:v>
      </x:c>
      <x:c r="T50" s="69" t="str">
        <x:v>Update test and script imports; retain the old tiff import as a thin wrapper until PASS.</x:v>
      </x:c>
      <x:c r="U50" s="69" t="str"/>
      <x:c r="V50" s="69" t="str"/>
      <x:c r="W50" s="69" t="str"/>
      <x:c r="X50" s="72" t="n">
        <x:v>19927</x:v>
      </x:c>
      <x:c r="Y50" s="70" t="b">
        <x:v>1</x:v>
      </x:c>
      <x:c r="Z50" s="69" t="str">
        <x:v>Compatibility required</x:v>
      </x:c>
      <x:c r="AA50" s="69" t="str">
        <x:v>https://github.com/jwild2027/heico-ai-internship-summer-2026/blob/srv/tiff/page_image_recognition_quality.py</x:v>
      </x:c>
      <x:c r="AB50" s="69" t="str">
        <x:v>ingestion &lt;= path:page_image, path:tiff, symbol:page_image, string:page_image, string:tiff; visual &lt;= string:diagram, string:image_visual, string:visual; tables &lt;= string:parts_list, string:table; graph &lt;= string:graph; serving &lt;= symbol:sse, import:sse, string:sse; referenced_by_count=3</x:v>
      </x:c>
    </x:row>
    <x:row r="51">
      <x:c r="A51" s="68" t="n">
        <x:v>50</x:v>
      </x:c>
      <x:c r="B51" s="69" t="str">
        <x:v>tiff/page_visual_object_audit.py</x:v>
      </x:c>
      <x:c r="C51" s="69" t="str">
        <x:v>page_visual_object_audit.py</x:v>
      </x:c>
      <x:c r="D51" s="69" t="str">
        <x:v>visual</x:v>
      </x:c>
      <x:c r="E51" s="69" t="str">
        <x:v>ingestion, graph</x:v>
      </x:c>
      <x:c r="F51" s="69" t="str">
        <x:v>visual</x:v>
      </x:c>
      <x:c r="G51" s="69" t="str">
        <x:v>src/trace_net/visual/</x:v>
      </x:c>
      <x:c r="H51" s="69" t="str">
        <x:v>src/trace_net/visual/page_visual_object_audit.py</x:v>
      </x:c>
      <x:c r="I51" s="69" t="str">
        <x:v>active library module</x:v>
      </x:c>
      <x:c r="J51" s="69" t="str">
        <x:v>MOVE_WITH_IMPORT_UPDATES_AND_COMPATIBILITY_WRAPPER</x:v>
      </x:c>
      <x:c r="K51" s="70" t="b">
        <x:v>1</x:v>
      </x:c>
      <x:c r="L51" s="70" t="b">
        <x:v>0</x:v>
      </x:c>
      <x:c r="M51" s="70" t="b">
        <x:v>1</x:v>
      </x:c>
      <x:c r="N51" s="69" t="n">
        <x:v>3</x:v>
      </x:c>
      <x:c r="O51" s="69" t="n">
        <x:v>1</x:v>
      </x:c>
      <x:c r="P51" s="69" t="str">
        <x:v>scripts/audit_page_visual_objects.py; tests/unit/test_tiff_page_visual_object_audit.py; tests/unit/test_tiff_page_visual_object_graph_linkage.py; tools/patch_archive/apply_page_visual_graph_linkage_fix.py</x:v>
      </x:c>
      <x:c r="Q51" s="71" t="n">
        <x:v>0.95</x:v>
      </x:c>
      <x:c r="R51" s="69" t="str">
        <x:v>visual/image/vision naming</x:v>
      </x:c>
      <x:c r="S51" s="69" t="str">
        <x:v>Primary implementation belongs to the visual stage based on filename, imports, and inventory evidence.</x:v>
      </x:c>
      <x:c r="T51" s="69" t="str">
        <x:v>Update imports and retain the old tiff module as a wrapper when callers exist.</x:v>
      </x:c>
      <x:c r="U51" s="69" t="str"/>
      <x:c r="V51" s="69" t="str"/>
      <x:c r="W51" s="69" t="str"/>
      <x:c r="X51" s="72" t="n">
        <x:v>20242</x:v>
      </x:c>
      <x:c r="Y51" s="70" t="b">
        <x:v>1</x:v>
      </x:c>
      <x:c r="Z51" s="69" t="str">
        <x:v>Compatibility required</x:v>
      </x:c>
      <x:c r="AA51" s="69" t="str">
        <x:v>https://github.com/jwild2027/heico-ai-internship-summer-2026/blob/srv/tiff/page_visual_object_audit.py</x:v>
      </x:c>
      <x:c r="AB51" s="69" t="str">
        <x:v>shared &lt;= string:schema; ingestion &lt;= path:tiff, string:tiff; ocr &lt;= string:ocr; visual &lt;= path:visual, symbol:visual, string:diagram, string:visual; tables &lt;= string:parts_list, string:table; graph &lt;= symbol:graph, string:graph, string:has_context</x:v>
      </x:c>
    </x:row>
    <x:row r="52">
      <x:c r="A52" s="68" t="n">
        <x:v>51</x:v>
      </x:c>
      <x:c r="B52" s="69" t="str">
        <x:v>tiff/page_visual_object_quality.py</x:v>
      </x:c>
      <x:c r="C52" s="69" t="str">
        <x:v>page_visual_object_quality.py</x:v>
      </x:c>
      <x:c r="D52" s="69" t="str">
        <x:v>visual</x:v>
      </x:c>
      <x:c r="E52" s="69" t="str">
        <x:v>ingestion</x:v>
      </x:c>
      <x:c r="F52" s="69" t="str">
        <x:v>visual</x:v>
      </x:c>
      <x:c r="G52" s="69" t="str">
        <x:v>src/trace_net/visual/quality/</x:v>
      </x:c>
      <x:c r="H52" s="69" t="str">
        <x:v>src/trace_net/visual/quality/page_visual_object_quality.py</x:v>
      </x:c>
      <x:c r="I52" s="69" t="str">
        <x:v>quality validator module</x:v>
      </x:c>
      <x:c r="J52" s="69" t="str">
        <x:v>MOVE_WITH_IMPORT_UPDATES_AND_COMPATIBILITY_WRAPPER</x:v>
      </x:c>
      <x:c r="K52" s="70" t="b">
        <x:v>1</x:v>
      </x:c>
      <x:c r="L52" s="70" t="b">
        <x:v>0</x:v>
      </x:c>
      <x:c r="M52" s="70" t="b">
        <x:v>1</x:v>
      </x:c>
      <x:c r="N52" s="69" t="n">
        <x:v>3</x:v>
      </x:c>
      <x:c r="O52" s="69" t="n">
        <x:v>0</x:v>
      </x:c>
      <x:c r="P52" s="69" t="str">
        <x:v>scripts/check_page_visual_object_quality.py; scripts/refresh_page_visual_object_quality_summary.py; tests/unit/test_tiff_page_visual_object_quality.py</x:v>
      </x:c>
      <x:c r="Q52" s="71" t="n">
        <x:v>0.97</x:v>
      </x:c>
      <x:c r="R52" s="69" t="str">
        <x:v>visual/image/vision naming</x:v>
      </x:c>
      <x:c r="S52" s="69" t="str">
        <x:v>Quality logic is reusable source code for the visual stage.</x:v>
      </x:c>
      <x:c r="T52" s="69" t="str">
        <x:v>Update test and script imports; retain the old tiff import as a thin wrapper until PASS.</x:v>
      </x:c>
      <x:c r="U52" s="69" t="str"/>
      <x:c r="V52" s="69" t="str"/>
      <x:c r="W52" s="69" t="str"/>
      <x:c r="X52" s="72" t="n">
        <x:v>9406</x:v>
      </x:c>
      <x:c r="Y52" s="70" t="b">
        <x:v>1</x:v>
      </x:c>
      <x:c r="Z52" s="69" t="str">
        <x:v>Compatibility required</x:v>
      </x:c>
      <x:c r="AA52" s="69" t="str">
        <x:v>https://github.com/jwild2027/heico-ai-internship-summer-2026/blob/srv/tiff/page_visual_object_quality.py</x:v>
      </x:c>
      <x:c r="AB52" s="69" t="str">
        <x:v>ingestion &lt;= path:tiff; ocr &lt;= string:ocr; visual &lt;= path:visual, symbol:visual, string:visual; tables &lt;= string:parts_list, string:table; graph &lt;= string:graph, string:has_context; context &lt;= string:page_context</x:v>
      </x:c>
    </x:row>
    <x:row r="53">
      <x:c r="A53" s="68" t="n">
        <x:v>52</x:v>
      </x:c>
      <x:c r="B53" s="69" t="str">
        <x:v>tiff/part_catalog.py</x:v>
      </x:c>
      <x:c r="C53" s="69" t="str">
        <x:v>part_catalog.py</x:v>
      </x:c>
      <x:c r="D53" s="69" t="str">
        <x:v>ingestion</x:v>
      </x:c>
      <x:c r="E53" s="69" t="str">
        <x:v>ocr, tables</x:v>
      </x:c>
      <x:c r="F53" s="69" t="str">
        <x:v>ingestion</x:v>
      </x:c>
      <x:c r="G53" s="69" t="str">
        <x:v>src/trace_net/ingestion/</x:v>
      </x:c>
      <x:c r="H53" s="69" t="str">
        <x:v>src/trace_net/ingestion/part_catalog.py</x:v>
      </x:c>
      <x:c r="I53" s="69" t="str">
        <x:v>active library module</x:v>
      </x:c>
      <x:c r="J53" s="69" t="str">
        <x:v>MOVE_WITH_IMPORT_UPDATES_AND_COMPATIBILITY_WRAPPER</x:v>
      </x:c>
      <x:c r="K53" s="70" t="b">
        <x:v>1</x:v>
      </x:c>
      <x:c r="L53" s="70" t="b">
        <x:v>0</x:v>
      </x:c>
      <x:c r="M53" s="70" t="b">
        <x:v>1</x:v>
      </x:c>
      <x:c r="N53" s="69" t="n">
        <x:v>8</x:v>
      </x:c>
      <x:c r="O53" s="69" t="n">
        <x:v>0</x:v>
      </x:c>
      <x:c r="P53" s="69" t="str">
        <x:v>scripts/build_part_catalog.py; scripts/export_part_catalog_csv.py; scripts/report_part_catalog.py; scripts/search_part_catalog.py; tests/unit/test_tiff_part_catalog.py; tiff/changed_page_backend.py; tiff/changed_page_update.py; tiff/ocr_cleanup.py</x:v>
      </x:c>
      <x:c r="Q53" s="71" t="n">
        <x:v>0.95</x:v>
      </x:c>
      <x:c r="R53" s="69" t="str">
        <x:v>inventory stage: ingestion</x:v>
      </x:c>
      <x:c r="S53" s="69" t="str">
        <x:v>Primary implementation belongs to the ingestion stage based on filename, imports, and inventory evidence.</x:v>
      </x:c>
      <x:c r="T53" s="69" t="str">
        <x:v>Update imports and retain the old tiff module as a wrapper when callers exist.</x:v>
      </x:c>
      <x:c r="U53" s="69" t="str"/>
      <x:c r="V53" s="69" t="str"/>
      <x:c r="W53" s="69" t="str"/>
      <x:c r="X53" s="72" t="n">
        <x:v>22360</x:v>
      </x:c>
      <x:c r="Y53" s="70" t="b">
        <x:v>1</x:v>
      </x:c>
      <x:c r="Z53" s="69" t="str">
        <x:v>Compatibility required</x:v>
      </x:c>
      <x:c r="AA53" s="69" t="str">
        <x:v>https://github.com/jwild2027/heico-ai-internship-summer-2026/blob/srv/tiff/part_catalog.py</x:v>
      </x:c>
      <x:c r="AB53" s="69" t="str">
        <x:v>shared &lt;= symbol:schema, string:schema; ingestion &lt;= path:tiff, import:tiff, string:tiff; ocr &lt;= symbol:ocr, import:ocr, string:ocr; tables &lt;= symbol:table, string:ipl, string:table; graph &lt;= string:nha; serving &lt;= import:sse</x:v>
      </x:c>
    </x:row>
    <x:row r="54">
      <x:c r="A54" s="68" t="n">
        <x:v>53</x:v>
      </x:c>
      <x:c r="B54" s="69" t="str">
        <x:v>tiff/part_filters.py</x:v>
      </x:c>
      <x:c r="C54" s="69" t="str">
        <x:v>part_filters.py</x:v>
      </x:c>
      <x:c r="D54" s="69" t="str">
        <x:v>ingestion</x:v>
      </x:c>
      <x:c r="E54" s="69" t="str"/>
      <x:c r="F54" s="69" t="str">
        <x:v>ingestion</x:v>
      </x:c>
      <x:c r="G54" s="69" t="str">
        <x:v>src/trace_net/ingestion/</x:v>
      </x:c>
      <x:c r="H54" s="69" t="str">
        <x:v>src/trace_net/ingestion/part_filters.py</x:v>
      </x:c>
      <x:c r="I54" s="69" t="str">
        <x:v>active library module</x:v>
      </x:c>
      <x:c r="J54" s="69" t="str">
        <x:v>MOVE_WITH_IMPORT_UPDATES_AND_COMPATIBILITY_WRAPPER</x:v>
      </x:c>
      <x:c r="K54" s="70" t="b">
        <x:v>1</x:v>
      </x:c>
      <x:c r="L54" s="70" t="b">
        <x:v>0</x:v>
      </x:c>
      <x:c r="M54" s="70" t="b">
        <x:v>1</x:v>
      </x:c>
      <x:c r="N54" s="69" t="n">
        <x:v>6</x:v>
      </x:c>
      <x:c r="O54" s="69" t="n">
        <x:v>0</x:v>
      </x:c>
      <x:c r="P54" s="69" t="str">
        <x:v>tests/unit/test_tiff_part_filters.py; tests/unit/test_tiff_part_filters_v2.py; tiff/ocr_cleanup.py; tiff/part_catalog.py; tiff/part_qa.py; tiff/search_index.py</x:v>
      </x:c>
      <x:c r="Q54" s="71" t="n">
        <x:v>0.95</x:v>
      </x:c>
      <x:c r="R54" s="69" t="str">
        <x:v>inventory stage: ingestion</x:v>
      </x:c>
      <x:c r="S54" s="69" t="str">
        <x:v>Primary implementation belongs to the ingestion stage based on filename, imports, and inventory evidence.</x:v>
      </x:c>
      <x:c r="T54" s="69" t="str">
        <x:v>Update imports and retain the old tiff module as a wrapper when callers exist.</x:v>
      </x:c>
      <x:c r="U54" s="69" t="str"/>
      <x:c r="V54" s="69" t="str"/>
      <x:c r="W54" s="69" t="str"/>
      <x:c r="X54" s="72" t="n">
        <x:v>7465</x:v>
      </x:c>
      <x:c r="Y54" s="70" t="b">
        <x:v>1</x:v>
      </x:c>
      <x:c r="Z54" s="69" t="str">
        <x:v>Compatibility required</x:v>
      </x:c>
      <x:c r="AA54" s="69" t="str">
        <x:v>https://github.com/jwild2027/heico-ai-internship-summer-2026/blob/srv/tiff/part_filters.py</x:v>
      </x:c>
      <x:c r="AB54" s="69" t="str">
        <x:v>shared &lt;= string:shared; ingestion &lt;= path:tiff; ocr &lt;= string:ocr; tables &lt;= string:ipl, string:table; operations &lt;= string:cleanup; referenced_by_count=1</x:v>
      </x:c>
    </x:row>
    <x:row r="55">
      <x:c r="A55" s="68" t="n">
        <x:v>54</x:v>
      </x:c>
      <x:c r="B55" s="69" t="str">
        <x:v>tiff/part_qa.py</x:v>
      </x:c>
      <x:c r="C55" s="69" t="str">
        <x:v>part_qa.py</x:v>
      </x:c>
      <x:c r="D55" s="69" t="str">
        <x:v>ingestion</x:v>
      </x:c>
      <x:c r="E55" s="69" t="str"/>
      <x:c r="F55" s="69" t="str">
        <x:v>ingestion</x:v>
      </x:c>
      <x:c r="G55" s="69" t="str">
        <x:v>src/trace_net/ingestion/</x:v>
      </x:c>
      <x:c r="H55" s="69" t="str">
        <x:v>src/trace_net/ingestion/part_qa.py</x:v>
      </x:c>
      <x:c r="I55" s="69" t="str">
        <x:v>active library module</x:v>
      </x:c>
      <x:c r="J55" s="69" t="str">
        <x:v>MOVE_WITH_IMPORT_UPDATES_AND_COMPATIBILITY_WRAPPER</x:v>
      </x:c>
      <x:c r="K55" s="70" t="b">
        <x:v>1</x:v>
      </x:c>
      <x:c r="L55" s="70" t="b">
        <x:v>0</x:v>
      </x:c>
      <x:c r="M55" s="70" t="b">
        <x:v>1</x:v>
      </x:c>
      <x:c r="N55" s="69" t="n">
        <x:v>9</x:v>
      </x:c>
      <x:c r="O55" s="69" t="n">
        <x:v>0</x:v>
      </x:c>
      <x:c r="P55" s="69" t="str">
        <x:v>scripts/report_nomenclature_groups.py; scripts/report_non_part_reference_mentions.py; scripts/report_part_catalog_qa.py; scripts/report_part_nomenclature_conflicts.py; scripts/report_parts_missing_nomenclature.py; scripts/report_suspicious_part_ata.py; tests/unit/test_tiff_part_qa.py; tests/unit/test_tiff_part_qa_filtering.py; tests/unit/test_tiff_part_qa_noise_suppression.py</x:v>
      </x:c>
      <x:c r="Q55" s="71" t="n">
        <x:v>0.95</x:v>
      </x:c>
      <x:c r="R55" s="69" t="str">
        <x:v>inventory stage: ingestion</x:v>
      </x:c>
      <x:c r="S55" s="69" t="str">
        <x:v>Primary implementation belongs to the ingestion stage based on filename, imports, and inventory evidence.</x:v>
      </x:c>
      <x:c r="T55" s="69" t="str">
        <x:v>Update imports and retain the old tiff module as a wrapper when callers exist.</x:v>
      </x:c>
      <x:c r="U55" s="69" t="str"/>
      <x:c r="V55" s="69" t="str"/>
      <x:c r="W55" s="69" t="str"/>
      <x:c r="X55" s="72" t="n">
        <x:v>16649</x:v>
      </x:c>
      <x:c r="Y55" s="70" t="b">
        <x:v>1</x:v>
      </x:c>
      <x:c r="Z55" s="69" t="str">
        <x:v>Compatibility required</x:v>
      </x:c>
      <x:c r="AA55" s="69" t="str">
        <x:v>https://github.com/jwild2027/heico-ai-internship-summer-2026/blob/srv/tiff/part_qa.py</x:v>
      </x:c>
      <x:c r="AB55" s="69" t="str">
        <x:v>ingestion &lt;= path:tiff, import:tiff, string:tiff; ocr &lt;= string:ocr; tables &lt;= symbol:table, string:table; serving &lt;= import:sse, string:sse; referenced_by_count=1; imported_by_count=9</x:v>
      </x:c>
    </x:row>
    <x:row r="56">
      <x:c r="A56" s="68" t="n">
        <x:v>55</x:v>
      </x:c>
      <x:c r="B56" s="69" t="str">
        <x:v>tiff/part_qa_severity.py</x:v>
      </x:c>
      <x:c r="C56" s="69" t="str">
        <x:v>part_qa_severity.py</x:v>
      </x:c>
      <x:c r="D56" s="69" t="str">
        <x:v>ingestion</x:v>
      </x:c>
      <x:c r="E56" s="69" t="str">
        <x:v>serving, ocr</x:v>
      </x:c>
      <x:c r="F56" s="69" t="str">
        <x:v>ingestion</x:v>
      </x:c>
      <x:c r="G56" s="69" t="str">
        <x:v>src/trace_net/ingestion/</x:v>
      </x:c>
      <x:c r="H56" s="69" t="str">
        <x:v>src/trace_net/ingestion/part_qa_severity.py</x:v>
      </x:c>
      <x:c r="I56" s="69" t="str">
        <x:v>active library module</x:v>
      </x:c>
      <x:c r="J56" s="69" t="str">
        <x:v>MOVE_WITH_IMPORT_UPDATES_AND_COMPATIBILITY_WRAPPER</x:v>
      </x:c>
      <x:c r="K56" s="70" t="b">
        <x:v>1</x:v>
      </x:c>
      <x:c r="L56" s="70" t="b">
        <x:v>0</x:v>
      </x:c>
      <x:c r="M56" s="70" t="b">
        <x:v>1</x:v>
      </x:c>
      <x:c r="N56" s="69" t="n">
        <x:v>2</x:v>
      </x:c>
      <x:c r="O56" s="69" t="n">
        <x:v>0</x:v>
      </x:c>
      <x:c r="P56" s="69" t="str">
        <x:v>scripts/triage_part_catalog_qa.py; tests/unit/test_tiff_part_qa_severity.py</x:v>
      </x:c>
      <x:c r="Q56" s="71" t="n">
        <x:v>0.95</x:v>
      </x:c>
      <x:c r="R56" s="69" t="str">
        <x:v>inventory stage: ingestion</x:v>
      </x:c>
      <x:c r="S56" s="69" t="str">
        <x:v>Primary implementation belongs to the ingestion stage based on filename, imports, and inventory evidence.</x:v>
      </x:c>
      <x:c r="T56" s="69" t="str">
        <x:v>Update imports and retain the old tiff module as a wrapper when callers exist.</x:v>
      </x:c>
      <x:c r="U56" s="69" t="str"/>
      <x:c r="V56" s="69" t="str"/>
      <x:c r="W56" s="69" t="str"/>
      <x:c r="X56" s="72" t="n">
        <x:v>19166</x:v>
      </x:c>
      <x:c r="Y56" s="70" t="b">
        <x:v>1</x:v>
      </x:c>
      <x:c r="Z56" s="69" t="str">
        <x:v>Compatibility required</x:v>
      </x:c>
      <x:c r="AA56" s="69" t="str">
        <x:v>https://github.com/jwild2027/heico-ai-internship-summer-2026/blob/srv/tiff/part_qa_severity.py</x:v>
      </x:c>
      <x:c r="AB56" s="69" t="str">
        <x:v>ingestion &lt;= path:tiff; ocr &lt;= symbol:ocr, string:ocr; tables &lt;= string:ipl; graph &lt;= string:nha; serving &lt;= import:sse, string:serve, string:sse; referenced_by_count=1</x:v>
      </x:c>
    </x:row>
    <x:row r="57">
      <x:c r="A57" s="68" t="n">
        <x:v>56</x:v>
      </x:c>
      <x:c r="B57" s="69" t="str">
        <x:v>tiff/pipeline_manifest.py</x:v>
      </x:c>
      <x:c r="C57" s="69" t="str">
        <x:v>pipeline_manifest.py</x:v>
      </x:c>
      <x:c r="D57" s="69" t="str">
        <x:v>ingestion</x:v>
      </x:c>
      <x:c r="E57" s="69" t="str">
        <x:v>benchmarks, ocr</x:v>
      </x:c>
      <x:c r="F57" s="69" t="str">
        <x:v>ingestion</x:v>
      </x:c>
      <x:c r="G57" s="69" t="str">
        <x:v>src/trace_net/ingestion/</x:v>
      </x:c>
      <x:c r="H57" s="69" t="str">
        <x:v>src/trace_net/ingestion/pipeline_manifest.py</x:v>
      </x:c>
      <x:c r="I57" s="69" t="str">
        <x:v>artifact builder implementation</x:v>
      </x:c>
      <x:c r="J57" s="69" t="str">
        <x:v>MOVE_WITH_IMPORT_UPDATES_AND_COMPATIBILITY_WRAPPER</x:v>
      </x:c>
      <x:c r="K57" s="70" t="b">
        <x:v>1</x:v>
      </x:c>
      <x:c r="L57" s="70" t="b">
        <x:v>0</x:v>
      </x:c>
      <x:c r="M57" s="70" t="b">
        <x:v>1</x:v>
      </x:c>
      <x:c r="N57" s="69" t="n">
        <x:v>14</x:v>
      </x:c>
      <x:c r="O57" s="69" t="n">
        <x:v>0</x:v>
      </x:c>
      <x:c r="P57" s="69" t="str">
        <x:v>scripts/audit_ocr_coverage.py; scripts/evaluate_rag_questions.py; scripts/run_tiff_backend_pipeline.py; scripts/show_pipeline_status.py; scripts/smoke_test_incremental_changed_page.py; scripts/triage_part_catalog_qa.py; tests/unit/test_tiff_document_organization_pipeline_quality.py; tests/unit/test_tiff_incremental_status_quality.py; tests/unit/test_tiff_ocr_pipeline_integration.py; tests/unit/test_tiff_pipeline_manifest.py; … +4 more</x:v>
      </x:c>
      <x:c r="Q57" s="71" t="n">
        <x:v>0.96</x:v>
      </x:c>
      <x:c r="R57" s="69" t="str">
        <x:v>inventory stage: ingestion</x:v>
      </x:c>
      <x:c r="S57" s="69" t="str">
        <x:v>Build implementation is imported by active wrappers/tests and belongs to the ingestion package.</x:v>
      </x:c>
      <x:c r="T57" s="69" t="str">
        <x:v>Update wrapper imports and compare generated artifact counts/checksums.</x:v>
      </x:c>
      <x:c r="U57" s="69" t="str"/>
      <x:c r="V57" s="69" t="str"/>
      <x:c r="W57" s="69" t="str"/>
      <x:c r="X57" s="72" t="n">
        <x:v>31555</x:v>
      </x:c>
      <x:c r="Y57" s="70" t="b">
        <x:v>1</x:v>
      </x:c>
      <x:c r="Z57" s="69" t="str">
        <x:v>Compatibility required</x:v>
      </x:c>
      <x:c r="AA57" s="69" t="str">
        <x:v>https://github.com/jwild2027/heico-ai-internship-summer-2026/blob/srv/tiff/pipeline_manifest.py</x:v>
      </x:c>
      <x:c r="AB57" s="69" t="str">
        <x:v>shared &lt;= string:helper; ingestion &lt;= path:tiff, string:tiff; ocr &lt;= symbol:ocr, string:ocr; tables &lt;= symbol:table, string:table; embeddings &lt;= string:embedding; validation &lt;= string:fallback</x:v>
      </x:c>
    </x:row>
    <x:row r="58">
      <x:c r="A58" s="68" t="n">
        <x:v>57</x:v>
      </x:c>
      <x:c r="B58" s="69" t="str">
        <x:v>tiff/pipeline_quality.py</x:v>
      </x:c>
      <x:c r="C58" s="69" t="str">
        <x:v>pipeline_quality.py</x:v>
      </x:c>
      <x:c r="D58" s="69" t="str">
        <x:v>ingestion</x:v>
      </x:c>
      <x:c r="E58" s="69" t="str">
        <x:v>benchmarks</x:v>
      </x:c>
      <x:c r="F58" s="69" t="str">
        <x:v>validation</x:v>
      </x:c>
      <x:c r="G58" s="69" t="str">
        <x:v>src/trace_net/validation/</x:v>
      </x:c>
      <x:c r="H58" s="69" t="str">
        <x:v>src/trace_net/validation/pipeline_quality.py</x:v>
      </x:c>
      <x:c r="I58" s="69" t="str">
        <x:v>quality validator module</x:v>
      </x:c>
      <x:c r="J58" s="69" t="str">
        <x:v>MOVE_WITH_IMPORT_UPDATES_AND_COMPATIBILITY_WRAPPER</x:v>
      </x:c>
      <x:c r="K58" s="70" t="b">
        <x:v>1</x:v>
      </x:c>
      <x:c r="L58" s="70" t="b">
        <x:v>0</x:v>
      </x:c>
      <x:c r="M58" s="70" t="b">
        <x:v>1</x:v>
      </x:c>
      <x:c r="N58" s="69" t="n">
        <x:v>8</x:v>
      </x:c>
      <x:c r="O58" s="69" t="n">
        <x:v>0</x:v>
      </x:c>
      <x:c r="P58" s="69" t="str">
        <x:v>scripts/check_pipeline_quality.py; tests/unit/test_tiff_document_organization_pipeline_quality.py; tests/unit/test_tiff_incremental_status_quality.py; tests/unit/test_tiff_ocr_pipeline_integration.py; tests/unit/test_tiff_pipeline_quality.py; tests/unit/test_tiff_rag_source_link_integration.py; tests/unit/test_tiff_realistic_query_trace_quality.py; tests/unit/test_tiff_source_link_pipeline_quality.py</x:v>
      </x:c>
      <x:c r="Q58" s="71" t="n">
        <x:v>0.97</x:v>
      </x:c>
      <x:c r="R58" s="69" t="str">
        <x:v>validation/quality naming</x:v>
      </x:c>
      <x:c r="S58" s="69" t="str">
        <x:v>Quality logic is reusable source code for the validation stage.</x:v>
      </x:c>
      <x:c r="T58" s="69" t="str">
        <x:v>Update test and script imports; retain the old tiff import as a thin wrapper until PASS.</x:v>
      </x:c>
      <x:c r="U58" s="69" t="str"/>
      <x:c r="V58" s="69" t="str"/>
      <x:c r="W58" s="69" t="str"/>
      <x:c r="X58" s="72" t="n">
        <x:v>40107</x:v>
      </x:c>
      <x:c r="Y58" s="70" t="b">
        <x:v>1</x:v>
      </x:c>
      <x:c r="Z58" s="69" t="str">
        <x:v>Compatibility required</x:v>
      </x:c>
      <x:c r="AA58" s="69" t="str">
        <x:v>https://github.com/jwild2027/heico-ai-internship-summer-2026/blob/srv/tiff/pipeline_quality.py</x:v>
      </x:c>
      <x:c r="AB58" s="69" t="str">
        <x:v>ingestion &lt;= path:tiff, import:tiff, string:convert, string:tiff; ocr &lt;= string:ocr; tables &lt;= symbol:table, string:table; graph &lt;= import:graph, string:graph; embeddings &lt;= string:embedding; validation &lt;= symbol:quality_gate, string:quality_gate</x:v>
      </x:c>
    </x:row>
    <x:row r="59">
      <x:c r="A59" s="68" t="n">
        <x:v>58</x:v>
      </x:c>
      <x:c r="B59" s="69" t="str">
        <x:v>tiff/pipeline_runner.py</x:v>
      </x:c>
      <x:c r="C59" s="69" t="str">
        <x:v>pipeline_runner.py</x:v>
      </x:c>
      <x:c r="D59" s="69" t="str">
        <x:v>ingestion</x:v>
      </x:c>
      <x:c r="E59" s="69" t="str">
        <x:v>benchmarks</x:v>
      </x:c>
      <x:c r="F59" s="69" t="str">
        <x:v>ingestion</x:v>
      </x:c>
      <x:c r="G59" s="69" t="str">
        <x:v>src/trace_net/ingestion/</x:v>
      </x:c>
      <x:c r="H59" s="69" t="str">
        <x:v>src/trace_net/ingestion/pipeline_runner.py</x:v>
      </x:c>
      <x:c r="I59" s="69" t="str">
        <x:v>active library module</x:v>
      </x:c>
      <x:c r="J59" s="69" t="str">
        <x:v>MOVE_WITH_IMPORT_UPDATES_AND_COMPATIBILITY_WRAPPER</x:v>
      </x:c>
      <x:c r="K59" s="70" t="b">
        <x:v>1</x:v>
      </x:c>
      <x:c r="L59" s="70" t="b">
        <x:v>0</x:v>
      </x:c>
      <x:c r="M59" s="70" t="b">
        <x:v>1</x:v>
      </x:c>
      <x:c r="N59" s="69" t="n">
        <x:v>8</x:v>
      </x:c>
      <x:c r="O59" s="69" t="n">
        <x:v>0</x:v>
      </x:c>
      <x:c r="P59" s="69" t="str">
        <x:v>scripts/run_tiff_backend_pipeline.py; tests/unit/test_tiff_document_organization_pipeline_quality.py; tests/unit/test_tiff_ocr_pipeline_integration.py; tests/unit/test_tiff_pipeline_manifest.py; tests/unit/test_tiff_pipeline_qa_integration.py; tests/unit/test_tiff_pipeline_runner.py; tests/unit/test_tiff_rag_eval_manifest_refresh.py; tests/unit/test_tiff_source_link_pipeline_quality.py</x:v>
      </x:c>
      <x:c r="Q59" s="71" t="n">
        <x:v>0.95</x:v>
      </x:c>
      <x:c r="R59" s="69" t="str">
        <x:v>inventory stage: ingestion</x:v>
      </x:c>
      <x:c r="S59" s="69" t="str">
        <x:v>Primary implementation belongs to the ingestion stage based on filename, imports, and inventory evidence.</x:v>
      </x:c>
      <x:c r="T59" s="69" t="str">
        <x:v>Update imports and retain the old tiff module as a wrapper when callers exist.</x:v>
      </x:c>
      <x:c r="U59" s="69" t="str"/>
      <x:c r="V59" s="69" t="str"/>
      <x:c r="W59" s="69" t="str"/>
      <x:c r="X59" s="72" t="n">
        <x:v>12834</x:v>
      </x:c>
      <x:c r="Y59" s="70" t="b">
        <x:v>1</x:v>
      </x:c>
      <x:c r="Z59" s="69" t="str">
        <x:v>Compatibility required</x:v>
      </x:c>
      <x:c r="AA59" s="69" t="str">
        <x:v>https://github.com/jwild2027/heico-ai-internship-summer-2026/blob/srv/tiff/pipeline_runner.py</x:v>
      </x:c>
      <x:c r="AB59" s="69" t="str">
        <x:v>shared &lt;= string:utilities; ingestion &lt;= path:tiff, string:tiff; ocr &lt;= string:ocr; tables &lt;= string:table; embeddings &lt;= string:bge_m3, string:embedding; serving &lt;= import:sse, string:api</x:v>
      </x:c>
    </x:row>
    <x:row r="60">
      <x:c r="A60" s="68" t="n">
        <x:v>59</x:v>
      </x:c>
      <x:c r="B60" s="69" t="str">
        <x:v>tiff/production_adapters.py</x:v>
      </x:c>
      <x:c r="C60" s="69" t="str">
        <x:v>production_adapters.py</x:v>
      </x:c>
      <x:c r="D60" s="69" t="str">
        <x:v>ingestion</x:v>
      </x:c>
      <x:c r="E60" s="69" t="str">
        <x:v>retrieval, serving, shared, embeddings</x:v>
      </x:c>
      <x:c r="F60" s="69" t="str">
        <x:v>ingestion</x:v>
      </x:c>
      <x:c r="G60" s="69" t="str">
        <x:v>src/trace_net/ingestion/</x:v>
      </x:c>
      <x:c r="H60" s="69" t="str">
        <x:v>src/trace_net/ingestion/production_adapters.py</x:v>
      </x:c>
      <x:c r="I60" s="69" t="str">
        <x:v>active library module</x:v>
      </x:c>
      <x:c r="J60" s="69" t="str">
        <x:v>MOVE_WITH_IMPORT_UPDATES_AND_COMPATIBILITY_WRAPPER</x:v>
      </x:c>
      <x:c r="K60" s="70" t="b">
        <x:v>1</x:v>
      </x:c>
      <x:c r="L60" s="70" t="b">
        <x:v>0</x:v>
      </x:c>
      <x:c r="M60" s="70" t="b">
        <x:v>1</x:v>
      </x:c>
      <x:c r="N60" s="69" t="n">
        <x:v>2</x:v>
      </x:c>
      <x:c r="O60" s="69" t="n">
        <x:v>0</x:v>
      </x:c>
      <x:c r="P60" s="69" t="str">
        <x:v>scripts/check_production_adapter_stubs.py; tests/unit/test_tiff_production_adapter_stubs.py</x:v>
      </x:c>
      <x:c r="Q60" s="71" t="n">
        <x:v>0.95</x:v>
      </x:c>
      <x:c r="R60" s="69" t="str">
        <x:v>inventory stage: ingestion</x:v>
      </x:c>
      <x:c r="S60" s="69" t="str">
        <x:v>Primary implementation belongs to the ingestion stage based on filename, imports, and inventory evidence.</x:v>
      </x:c>
      <x:c r="T60" s="69" t="str">
        <x:v>Update imports and retain the old tiff module as a wrapper when callers exist.</x:v>
      </x:c>
      <x:c r="U60" s="69" t="str"/>
      <x:c r="V60" s="69" t="str"/>
      <x:c r="W60" s="69" t="str"/>
      <x:c r="X60" s="72" t="n">
        <x:v>10408</x:v>
      </x:c>
      <x:c r="Y60" s="70" t="b">
        <x:v>1</x:v>
      </x:c>
      <x:c r="Z60" s="69" t="str">
        <x:v>Compatibility required</x:v>
      </x:c>
      <x:c r="AA60" s="69" t="str">
        <x:v>https://github.com/jwild2027/heico-ai-internship-summer-2026/blob/srv/tiff/production_adapters.py</x:v>
      </x:c>
      <x:c r="AB60" s="69" t="str">
        <x:v>shared &lt;= symbol:schema, string:schema; ingestion &lt;= path:tiff, string:tiff; ocr &lt;= string:ocr; tables &lt;= string:table; graph &lt;= string:graph; embeddings &lt;= symbol:qdrant, string:qdrant</x:v>
      </x:c>
    </x:row>
    <x:row r="61">
      <x:c r="A61" s="68" t="n">
        <x:v>60</x:v>
      </x:c>
      <x:c r="B61" s="69" t="str">
        <x:v>tiff/production_schema.py</x:v>
      </x:c>
      <x:c r="C61" s="69" t="str">
        <x:v>production_schema.py</x:v>
      </x:c>
      <x:c r="D61" s="69" t="str">
        <x:v>shared</x:v>
      </x:c>
      <x:c r="E61" s="69" t="str">
        <x:v>ingestion, embeddings, retrieval</x:v>
      </x:c>
      <x:c r="F61" s="69" t="str">
        <x:v>core</x:v>
      </x:c>
      <x:c r="G61" s="69" t="str">
        <x:v>src/trace_net/core/</x:v>
      </x:c>
      <x:c r="H61" s="69" t="str">
        <x:v>src/trace_net/core/production_schema.py</x:v>
      </x:c>
      <x:c r="I61" s="69" t="str">
        <x:v>active library module</x:v>
      </x:c>
      <x:c r="J61" s="69" t="str">
        <x:v>MOVE_WITH_IMPORT_UPDATES_AND_COMPATIBILITY_WRAPPER</x:v>
      </x:c>
      <x:c r="K61" s="70" t="b">
        <x:v>1</x:v>
      </x:c>
      <x:c r="L61" s="70" t="b">
        <x:v>0</x:v>
      </x:c>
      <x:c r="M61" s="70" t="b">
        <x:v>1</x:v>
      </x:c>
      <x:c r="N61" s="69" t="n">
        <x:v>2</x:v>
      </x:c>
      <x:c r="O61" s="69" t="n">
        <x:v>0</x:v>
      </x:c>
      <x:c r="P61" s="69" t="str">
        <x:v>scripts/write_production_schema_drafts.py; tests/unit/test_tiff_production_schema.py</x:v>
      </x:c>
      <x:c r="Q61" s="71" t="n">
        <x:v>0.9</x:v>
      </x:c>
      <x:c r="R61" s="69" t="str">
        <x:v>shared contract/schema/adapter</x:v>
      </x:c>
      <x:c r="S61" s="69" t="str">
        <x:v>Primary implementation belongs to the core stage based on filename, imports, and inventory evidence.</x:v>
      </x:c>
      <x:c r="T61" s="69" t="str">
        <x:v>Update imports and retain the old tiff module as a wrapper when callers exist.</x:v>
      </x:c>
      <x:c r="U61" s="69" t="str"/>
      <x:c r="V61" s="69" t="str"/>
      <x:c r="W61" s="69" t="str"/>
      <x:c r="X61" s="72" t="n">
        <x:v>27916</x:v>
      </x:c>
      <x:c r="Y61" s="70" t="b">
        <x:v>1</x:v>
      </x:c>
      <x:c r="Z61" s="69" t="str">
        <x:v>Compatibility required</x:v>
      </x:c>
      <x:c r="AA61" s="69" t="str">
        <x:v>https://github.com/jwild2027/heico-ai-internship-summer-2026/blob/srv/tiff/production_schema.py</x:v>
      </x:c>
      <x:c r="AB61" s="69" t="str">
        <x:v>shared &lt;= path:schema, symbol:schema, string:common, string:contract, string:schema; ingestion &lt;= path:tiff, string:pdf, string:tiff; ocr &lt;= string:ocr; visual &lt;= string:diagram, string:vision, string:visual; tables &lt;= string:table; graph &lt;= string:graph, string:relationship</x:v>
      </x:c>
    </x:row>
    <x:row r="62">
      <x:c r="A62" s="68" t="n">
        <x:v>61</x:v>
      </x:c>
      <x:c r="B62" s="69" t="str">
        <x:v>tiff/public_tiff_zip_audit.py</x:v>
      </x:c>
      <x:c r="C62" s="69" t="str">
        <x:v>public_tiff_zip_audit.py</x:v>
      </x:c>
      <x:c r="D62" s="69" t="str">
        <x:v>ingestion</x:v>
      </x:c>
      <x:c r="E62" s="69" t="str"/>
      <x:c r="F62" s="69" t="str">
        <x:v>ingestion</x:v>
      </x:c>
      <x:c r="G62" s="69" t="str">
        <x:v>src/trace_net/ingestion/</x:v>
      </x:c>
      <x:c r="H62" s="69" t="str">
        <x:v>src/trace_net/ingestion/public_tiff_zip_audit.py</x:v>
      </x:c>
      <x:c r="I62" s="69" t="str">
        <x:v>active library module</x:v>
      </x:c>
      <x:c r="J62" s="69" t="str">
        <x:v>MOVE_WITH_IMPORT_UPDATES_AND_COMPATIBILITY_WRAPPER</x:v>
      </x:c>
      <x:c r="K62" s="70" t="b">
        <x:v>1</x:v>
      </x:c>
      <x:c r="L62" s="70" t="b">
        <x:v>0</x:v>
      </x:c>
      <x:c r="M62" s="70" t="b">
        <x:v>1</x:v>
      </x:c>
      <x:c r="N62" s="69" t="n">
        <x:v>2</x:v>
      </x:c>
      <x:c r="O62" s="69" t="n">
        <x:v>0</x:v>
      </x:c>
      <x:c r="P62" s="69" t="str">
        <x:v>scripts/audit_public_tiff_zip.py; tests/unit/test_tiff_public_tiff_zip_audit.py</x:v>
      </x:c>
      <x:c r="Q62" s="71" t="n">
        <x:v>0.95</x:v>
      </x:c>
      <x:c r="R62" s="69" t="str">
        <x:v>inventory stage: ingestion</x:v>
      </x:c>
      <x:c r="S62" s="69" t="str">
        <x:v>Primary implementation belongs to the ingestion stage based on filename, imports, and inventory evidence.</x:v>
      </x:c>
      <x:c r="T62" s="69" t="str">
        <x:v>Update imports and retain the old tiff module as a wrapper when callers exist.</x:v>
      </x:c>
      <x:c r="U62" s="69" t="str"/>
      <x:c r="V62" s="69" t="str"/>
      <x:c r="W62" s="69" t="str"/>
      <x:c r="X62" s="72" t="n">
        <x:v>4288</x:v>
      </x:c>
      <x:c r="Y62" s="70" t="b">
        <x:v>1</x:v>
      </x:c>
      <x:c r="Z62" s="69" t="str">
        <x:v>Compatibility required</x:v>
      </x:c>
      <x:c r="AA62" s="69" t="str">
        <x:v>https://github.com/jwild2027/heico-ai-internship-summer-2026/blob/srv/tiff/public_tiff_zip_audit.py</x:v>
      </x:c>
      <x:c r="AB62" s="69" t="str">
        <x:v>shared &lt;= string:helper; ingestion &lt;= path:tiff, symbol:tiff, string:tiff; ocr &lt;= string:ocr; serving &lt;= import:sse; referenced_by_count=1; imported_by_count=2</x:v>
      </x:c>
    </x:row>
    <x:row r="63">
      <x:c r="A63" s="68" t="n">
        <x:v>62</x:v>
      </x:c>
      <x:c r="B63" s="69" t="str">
        <x:v>tiff/rag_answer.py</x:v>
      </x:c>
      <x:c r="C63" s="69" t="str">
        <x:v>rag_answer.py</x:v>
      </x:c>
      <x:c r="D63" s="69" t="str">
        <x:v>ingestion</x:v>
      </x:c>
      <x:c r="E63" s="69" t="str">
        <x:v>benchmarks</x:v>
      </x:c>
      <x:c r="F63" s="69" t="str">
        <x:v>ingestion</x:v>
      </x:c>
      <x:c r="G63" s="69" t="str">
        <x:v>src/trace_net/ingestion/</x:v>
      </x:c>
      <x:c r="H63" s="69" t="str">
        <x:v>src/trace_net/ingestion/rag_answer.py</x:v>
      </x:c>
      <x:c r="I63" s="69" t="str">
        <x:v>active library module</x:v>
      </x:c>
      <x:c r="J63" s="69" t="str">
        <x:v>MOVE_WITH_PROTECTED_COMPATIBILITY_WRAPPER</x:v>
      </x:c>
      <x:c r="K63" s="70" t="b">
        <x:v>1</x:v>
      </x:c>
      <x:c r="L63" s="70" t="b">
        <x:v>1</x:v>
      </x:c>
      <x:c r="M63" s="70" t="b">
        <x:v>1</x:v>
      </x:c>
      <x:c r="N63" s="69" t="n">
        <x:v>12</x:v>
      </x:c>
      <x:c r="O63" s="69" t="n">
        <x:v>0</x:v>
      </x:c>
      <x:c r="P63" s="69" t="str">
        <x:v>scripts/ask_tiff_rag.py; tests/unit/test_tiff_rag_answer.py; tests/unit/test_tiff_rag_eval.py; tests/unit/test_tiff_rag_hybrid_retrieval.py; tests/unit/test_tiff_rag_nomenclature_reverse_lookup.py; tests/unit/test_tiff_rag_reverse_lookup_balanced_sources.py; tests/unit/test_tiff_rag_source_grouping.py; tests/unit/test_tiff_rag_source_link_integration.py; tests/unit/test_tiff_rag_source_packing.py; tests/unit/test_tiff_rag_structured_part_summary.py; … +2 more</x:v>
      </x:c>
      <x:c r="Q63" s="71" t="n">
        <x:v>0.95</x:v>
      </x:c>
      <x:c r="R63" s="69" t="str">
        <x:v>inventory stage: ingestion</x:v>
      </x:c>
      <x:c r="S63" s="69" t="str">
        <x:v>Primary implementation belongs to the ingestion stage based on filename, imports, and inventory evidence.</x:v>
      </x:c>
      <x:c r="T63" s="69" t="str">
        <x:v>Update imports and retain the old tiff module as a wrapper when callers exist.</x:v>
      </x:c>
      <x:c r="U63" s="69" t="str">
        <x:v>8192</x:v>
      </x:c>
      <x:c r="V63" s="69" t="str"/>
      <x:c r="W63" s="69" t="str"/>
      <x:c r="X63" s="72" t="n">
        <x:v>32453</x:v>
      </x:c>
      <x:c r="Y63" s="70" t="b">
        <x:v>1</x:v>
      </x:c>
      <x:c r="Z63" s="69" t="str">
        <x:v>Protected runtime</x:v>
      </x:c>
      <x:c r="AA63" s="69" t="str">
        <x:v>https://github.com/jwild2027/heico-ai-internship-summer-2026/blob/srv/tiff/rag_answer.py</x:v>
      </x:c>
      <x:c r="AB63" s="69" t="str">
        <x:v>ingestion &lt;= path:tiff, string:tiff; ocr &lt;= string:ocr; graph &lt;= string:relationship; embeddings &lt;= string:bge_m3; retrieval &lt;= import:retriev, string:retriev; router &lt;= import:router</x:v>
      </x:c>
    </x:row>
    <x:row r="64">
      <x:c r="A64" s="68" t="n">
        <x:v>63</x:v>
      </x:c>
      <x:c r="B64" s="69" t="str">
        <x:v>tiff/rag_ata_answer.py</x:v>
      </x:c>
      <x:c r="C64" s="69" t="str">
        <x:v>rag_ata_answer.py</x:v>
      </x:c>
      <x:c r="D64" s="69" t="str">
        <x:v>ingestion</x:v>
      </x:c>
      <x:c r="E64" s="69" t="str">
        <x:v>ocr</x:v>
      </x:c>
      <x:c r="F64" s="69" t="str">
        <x:v>ingestion</x:v>
      </x:c>
      <x:c r="G64" s="69" t="str">
        <x:v>src/trace_net/ingestion/</x:v>
      </x:c>
      <x:c r="H64" s="69" t="str">
        <x:v>src/trace_net/ingestion/rag_ata_answer.py</x:v>
      </x:c>
      <x:c r="I64" s="69" t="str">
        <x:v>active library module</x:v>
      </x:c>
      <x:c r="J64" s="69" t="str">
        <x:v>MOVE_WITH_IMPORT_UPDATES_AND_COMPATIBILITY_WRAPPER</x:v>
      </x:c>
      <x:c r="K64" s="70" t="b">
        <x:v>1</x:v>
      </x:c>
      <x:c r="L64" s="70" t="b">
        <x:v>0</x:v>
      </x:c>
      <x:c r="M64" s="70" t="b">
        <x:v>1</x:v>
      </x:c>
      <x:c r="N64" s="69" t="n">
        <x:v>2</x:v>
      </x:c>
      <x:c r="O64" s="69" t="n">
        <x:v>0</x:v>
      </x:c>
      <x:c r="P64" s="69" t="str">
        <x:v>scripts/ask_tiff_rag.py; tests/unit/test_tiff_rag_ata_answer.py</x:v>
      </x:c>
      <x:c r="Q64" s="71" t="n">
        <x:v>0.95</x:v>
      </x:c>
      <x:c r="R64" s="69" t="str">
        <x:v>inventory stage: ingestion</x:v>
      </x:c>
      <x:c r="S64" s="69" t="str">
        <x:v>Primary implementation belongs to the ingestion stage based on filename, imports, and inventory evidence.</x:v>
      </x:c>
      <x:c r="T64" s="69" t="str">
        <x:v>Update imports and retain the old tiff module as a wrapper when callers exist.</x:v>
      </x:c>
      <x:c r="U64" s="69" t="str"/>
      <x:c r="V64" s="69" t="str"/>
      <x:c r="W64" s="69" t="str"/>
      <x:c r="X64" s="72" t="n">
        <x:v>7661</x:v>
      </x:c>
      <x:c r="Y64" s="70" t="b">
        <x:v>1</x:v>
      </x:c>
      <x:c r="Z64" s="69" t="str">
        <x:v>Compatibility required</x:v>
      </x:c>
      <x:c r="AA64" s="69" t="str">
        <x:v>https://github.com/jwild2027/heico-ai-internship-summer-2026/blob/srv/tiff/rag_ata_answer.py</x:v>
      </x:c>
      <x:c r="AB64" s="69" t="str">
        <x:v>ingestion &lt;= path:tiff, import:tiff, string:tiff; ocr &lt;= symbol:ocr, string:ocr; tables &lt;= string:table; embeddings &lt;= string:embedding; router &lt;= string:routing; serving &lt;= import:sse</x:v>
      </x:c>
    </x:row>
    <x:row r="65">
      <x:c r="A65" s="68" t="n">
        <x:v>64</x:v>
      </x:c>
      <x:c r="B65" s="69" t="str">
        <x:v>tiff/rag_chunks.py</x:v>
      </x:c>
      <x:c r="C65" s="69" t="str">
        <x:v>rag_chunks.py</x:v>
      </x:c>
      <x:c r="D65" s="69" t="str">
        <x:v>ingestion</x:v>
      </x:c>
      <x:c r="E65" s="69" t="str">
        <x:v>tables</x:v>
      </x:c>
      <x:c r="F65" s="69" t="str">
        <x:v>ingestion</x:v>
      </x:c>
      <x:c r="G65" s="69" t="str">
        <x:v>src/trace_net/ingestion/</x:v>
      </x:c>
      <x:c r="H65" s="69" t="str">
        <x:v>src/trace_net/ingestion/rag_chunks.py</x:v>
      </x:c>
      <x:c r="I65" s="69" t="str">
        <x:v>active library module</x:v>
      </x:c>
      <x:c r="J65" s="69" t="str">
        <x:v>MOVE_WITH_IMPORT_UPDATES_AND_COMPATIBILITY_WRAPPER</x:v>
      </x:c>
      <x:c r="K65" s="70" t="b">
        <x:v>1</x:v>
      </x:c>
      <x:c r="L65" s="70" t="b">
        <x:v>0</x:v>
      </x:c>
      <x:c r="M65" s="70" t="b">
        <x:v>1</x:v>
      </x:c>
      <x:c r="N65" s="69" t="n">
        <x:v>11</x:v>
      </x:c>
      <x:c r="O65" s="69" t="n">
        <x:v>0</x:v>
      </x:c>
      <x:c r="P65" s="69" t="str">
        <x:v>scripts/build_rag_chunks.py; tests/unit/test_tiff_rag_answer.py; tests/unit/test_tiff_rag_chunks.py; tests/unit/test_tiff_rag_embedding_schema_migration.py; tests/unit/test_tiff_rag_hybrid_routing.py; tests/unit/test_tiff_rag_incremental_embedding_reuse.py; tests/unit/test_tiff_rag_retriever.py; tiff/changed_page_backend.py; tiff/changed_page_update.py; tiff/rag_answer.py; … +1 more</x:v>
      </x:c>
      <x:c r="Q65" s="71" t="n">
        <x:v>0.95</x:v>
      </x:c>
      <x:c r="R65" s="69" t="str">
        <x:v>inventory stage: ingestion</x:v>
      </x:c>
      <x:c r="S65" s="69" t="str">
        <x:v>Primary implementation belongs to the ingestion stage based on filename, imports, and inventory evidence.</x:v>
      </x:c>
      <x:c r="T65" s="69" t="str">
        <x:v>Update imports and retain the old tiff module as a wrapper when callers exist.</x:v>
      </x:c>
      <x:c r="U65" s="69" t="str"/>
      <x:c r="V65" s="69" t="str"/>
      <x:c r="W65" s="69" t="str"/>
      <x:c r="X65" s="72" t="n">
        <x:v>17122</x:v>
      </x:c>
      <x:c r="Y65" s="70" t="b">
        <x:v>1</x:v>
      </x:c>
      <x:c r="Z65" s="69" t="str">
        <x:v>Compatibility required</x:v>
      </x:c>
      <x:c r="AA65" s="69" t="str">
        <x:v>https://github.com/jwild2027/heico-ai-internship-summer-2026/blob/srv/tiff/rag_chunks.py</x:v>
      </x:c>
      <x:c r="AB65" s="69" t="str">
        <x:v>shared &lt;= symbol:schema, string:schema; ingestion &lt;= path:tiff, string:tiff; ocr &lt;= string:ocr; tables &lt;= symbol:column, symbol:table, string:column, string:ipl, string:table; embeddings &lt;= symbol:embedding, string:embedding; serving &lt;= import:sse</x:v>
      </x:c>
    </x:row>
    <x:row r="66">
      <x:c r="A66" s="68" t="n">
        <x:v>65</x:v>
      </x:c>
      <x:c r="B66" s="69" t="str">
        <x:v>tiff/rag_eval.py</x:v>
      </x:c>
      <x:c r="C66" s="69" t="str">
        <x:v>rag_eval.py</x:v>
      </x:c>
      <x:c r="D66" s="69" t="str">
        <x:v>benchmarks</x:v>
      </x:c>
      <x:c r="E66" s="69" t="str">
        <x:v>ingestion</x:v>
      </x:c>
      <x:c r="F66" s="69" t="str">
        <x:v>validation</x:v>
      </x:c>
      <x:c r="G66" s="69" t="str">
        <x:v>src/trace_net/validation/</x:v>
      </x:c>
      <x:c r="H66" s="69" t="str">
        <x:v>src/trace_net/validation/rag_eval.py</x:v>
      </x:c>
      <x:c r="I66" s="69" t="str">
        <x:v>active library module</x:v>
      </x:c>
      <x:c r="J66" s="69" t="str">
        <x:v>MOVE_WITH_IMPORT_UPDATES_AND_COMPATIBILITY_WRAPPER</x:v>
      </x:c>
      <x:c r="K66" s="70" t="b">
        <x:v>1</x:v>
      </x:c>
      <x:c r="L66" s="70" t="b">
        <x:v>0</x:v>
      </x:c>
      <x:c r="M66" s="70" t="b">
        <x:v>1</x:v>
      </x:c>
      <x:c r="N66" s="69" t="n">
        <x:v>3</x:v>
      </x:c>
      <x:c r="O66" s="69" t="n">
        <x:v>0</x:v>
      </x:c>
      <x:c r="P66" s="69" t="str">
        <x:v>scripts/evaluate_rag_questions.py; tests/unit/test_tiff_rag_eval.py; tests/unit/test_tiff_rag_eval_expanded.py</x:v>
      </x:c>
      <x:c r="Q66" s="71" t="n">
        <x:v>0.95</x:v>
      </x:c>
      <x:c r="R66" s="69" t="str">
        <x:v>inventory stage: benchmarks</x:v>
      </x:c>
      <x:c r="S66" s="69" t="str">
        <x:v>Primary implementation belongs to the validation stage based on filename, imports, and inventory evidence.</x:v>
      </x:c>
      <x:c r="T66" s="69" t="str">
        <x:v>Update imports and retain the old tiff module as a wrapper when callers exist.</x:v>
      </x:c>
      <x:c r="U66" s="69" t="str"/>
      <x:c r="V66" s="69" t="str"/>
      <x:c r="W66" s="69" t="str"/>
      <x:c r="X66" s="72" t="n">
        <x:v>17519</x:v>
      </x:c>
      <x:c r="Y66" s="70" t="b">
        <x:v>1</x:v>
      </x:c>
      <x:c r="Z66" s="69" t="str">
        <x:v>Compatibility required</x:v>
      </x:c>
      <x:c r="AA66" s="69" t="str">
        <x:v>https://github.com/jwild2027/heico-ai-internship-summer-2026/blob/srv/tiff/rag_eval.py</x:v>
      </x:c>
      <x:c r="AB66" s="69" t="str">
        <x:v>shared &lt;= string:helper; ingestion &lt;= path:tiff, string:tiff; ocr &lt;= string:ocr; tables &lt;= string:table; embeddings &lt;= string:embedding; retrieval &lt;= import:retriev, string:retriev</x:v>
      </x:c>
    </x:row>
    <x:row r="67">
      <x:c r="A67" s="68" t="n">
        <x:v>66</x:v>
      </x:c>
      <x:c r="B67" s="69" t="str">
        <x:v>tiff/rag_eval_questions.py</x:v>
      </x:c>
      <x:c r="C67" s="69" t="str">
        <x:v>rag_eval_questions.py</x:v>
      </x:c>
      <x:c r="D67" s="69" t="str">
        <x:v>benchmarks</x:v>
      </x:c>
      <x:c r="E67" s="69" t="str">
        <x:v>ingestion</x:v>
      </x:c>
      <x:c r="F67" s="69" t="str">
        <x:v>validation</x:v>
      </x:c>
      <x:c r="G67" s="69" t="str">
        <x:v>src/trace_net/validation/</x:v>
      </x:c>
      <x:c r="H67" s="69" t="str">
        <x:v>src/trace_net/validation/rag_eval_questions.py</x:v>
      </x:c>
      <x:c r="I67" s="69" t="str">
        <x:v>active library module</x:v>
      </x:c>
      <x:c r="J67" s="69" t="str">
        <x:v>MOVE_WITH_IMPORT_UPDATES_AND_COMPATIBILITY_WRAPPER</x:v>
      </x:c>
      <x:c r="K67" s="70" t="b">
        <x:v>1</x:v>
      </x:c>
      <x:c r="L67" s="70" t="b">
        <x:v>0</x:v>
      </x:c>
      <x:c r="M67" s="70" t="b">
        <x:v>1</x:v>
      </x:c>
      <x:c r="N67" s="69" t="n">
        <x:v>4</x:v>
      </x:c>
      <x:c r="O67" s="69" t="n">
        <x:v>0</x:v>
      </x:c>
      <x:c r="P67" s="69" t="str">
        <x:v>scripts/evaluate_rag_questions.py; scripts/write_expanded_rag_eval_questions.py; tests/unit/test_tiff_rag_eval_expanded.py; tiff/rag_eval.py</x:v>
      </x:c>
      <x:c r="Q67" s="71" t="n">
        <x:v>0.95</x:v>
      </x:c>
      <x:c r="R67" s="69" t="str">
        <x:v>inventory stage: benchmarks</x:v>
      </x:c>
      <x:c r="S67" s="69" t="str">
        <x:v>Primary implementation belongs to the validation stage based on filename, imports, and inventory evidence.</x:v>
      </x:c>
      <x:c r="T67" s="69" t="str">
        <x:v>Update imports and retain the old tiff module as a wrapper when callers exist.</x:v>
      </x:c>
      <x:c r="U67" s="69" t="str"/>
      <x:c r="V67" s="69" t="str"/>
      <x:c r="W67" s="69" t="str"/>
      <x:c r="X67" s="72" t="n">
        <x:v>8030</x:v>
      </x:c>
      <x:c r="Y67" s="70" t="b">
        <x:v>1</x:v>
      </x:c>
      <x:c r="Z67" s="69" t="str">
        <x:v>Compatibility required</x:v>
      </x:c>
      <x:c r="AA67" s="69" t="str">
        <x:v>https://github.com/jwild2027/heico-ai-internship-summer-2026/blob/srv/tiff/rag_eval_questions.py</x:v>
      </x:c>
      <x:c r="AB67" s="69" t="str">
        <x:v>shared &lt;= string:common; ingestion &lt;= path:tiff, string:tiff; embeddings &lt;= string:embedding; retrieval &lt;= string:retriev; serving &lt;= string:sse; benchmarks &lt;= path:eval, symbol:eval, string:eval</x:v>
      </x:c>
    </x:row>
    <x:row r="68">
      <x:c r="A68" s="68" t="n">
        <x:v>67</x:v>
      </x:c>
      <x:c r="B68" s="69" t="str">
        <x:v>tiff/rag_model_eval.py</x:v>
      </x:c>
      <x:c r="C68" s="69" t="str">
        <x:v>rag_model_eval.py</x:v>
      </x:c>
      <x:c r="D68" s="69" t="str">
        <x:v>benchmarks</x:v>
      </x:c>
      <x:c r="E68" s="69" t="str">
        <x:v>ingestion</x:v>
      </x:c>
      <x:c r="F68" s="69" t="str">
        <x:v>validation</x:v>
      </x:c>
      <x:c r="G68" s="69" t="str">
        <x:v>src/trace_net/validation/</x:v>
      </x:c>
      <x:c r="H68" s="69" t="str">
        <x:v>src/trace_net/validation/rag_model_eval.py</x:v>
      </x:c>
      <x:c r="I68" s="69" t="str">
        <x:v>active library module</x:v>
      </x:c>
      <x:c r="J68" s="69" t="str">
        <x:v>MOVE_WITH_IMPORT_UPDATES_AND_COMPATIBILITY_WRAPPER</x:v>
      </x:c>
      <x:c r="K68" s="70" t="b">
        <x:v>1</x:v>
      </x:c>
      <x:c r="L68" s="70" t="b">
        <x:v>0</x:v>
      </x:c>
      <x:c r="M68" s="70" t="b">
        <x:v>1</x:v>
      </x:c>
      <x:c r="N68" s="69" t="n">
        <x:v>2</x:v>
      </x:c>
      <x:c r="O68" s="69" t="n">
        <x:v>0</x:v>
      </x:c>
      <x:c r="P68" s="69" t="str">
        <x:v>scripts/evaluate_rag_models.py; tests/unit/test_tiff_rag_model_eval.py</x:v>
      </x:c>
      <x:c r="Q68" s="71" t="n">
        <x:v>0.95</x:v>
      </x:c>
      <x:c r="R68" s="69" t="str">
        <x:v>inventory stage: benchmarks</x:v>
      </x:c>
      <x:c r="S68" s="69" t="str">
        <x:v>Primary implementation belongs to the validation stage based on filename, imports, and inventory evidence.</x:v>
      </x:c>
      <x:c r="T68" s="69" t="str">
        <x:v>Update imports and retain the old tiff module as a wrapper when callers exist.</x:v>
      </x:c>
      <x:c r="U68" s="69" t="str"/>
      <x:c r="V68" s="69" t="str"/>
      <x:c r="W68" s="69" t="str"/>
      <x:c r="X68" s="72" t="n">
        <x:v>13705</x:v>
      </x:c>
      <x:c r="Y68" s="70" t="b">
        <x:v>1</x:v>
      </x:c>
      <x:c r="Z68" s="69" t="str">
        <x:v>Compatibility required</x:v>
      </x:c>
      <x:c r="AA68" s="69" t="str">
        <x:v>https://github.com/jwild2027/heico-ai-internship-summer-2026/blob/srv/tiff/rag_model_eval.py</x:v>
      </x:c>
      <x:c r="AB68" s="69" t="str">
        <x:v>shared &lt;= string:helper; ingestion &lt;= path:tiff, symbol:tiff, string:tiff; tables &lt;= string:table; embeddings &lt;= string:embedding; retrieval &lt;= string:retriev; serving &lt;= import:sse, string:sse</x:v>
      </x:c>
    </x:row>
    <x:row r="69">
      <x:c r="A69" s="68" t="n">
        <x:v>68</x:v>
      </x:c>
      <x:c r="B69" s="69" t="str">
        <x:v>tiff/rag_retriever.py</x:v>
      </x:c>
      <x:c r="C69" s="69" t="str">
        <x:v>rag_retriever.py</x:v>
      </x:c>
      <x:c r="D69" s="69" t="str">
        <x:v>ingestion</x:v>
      </x:c>
      <x:c r="E69" s="69" t="str">
        <x:v>retrieval, benchmarks</x:v>
      </x:c>
      <x:c r="F69" s="69" t="str">
        <x:v>retrieval</x:v>
      </x:c>
      <x:c r="G69" s="69" t="str">
        <x:v>src/trace_net/retrieval/</x:v>
      </x:c>
      <x:c r="H69" s="69" t="str">
        <x:v>src/trace_net/retrieval/rag_retriever.py</x:v>
      </x:c>
      <x:c r="I69" s="69" t="str">
        <x:v>active library module</x:v>
      </x:c>
      <x:c r="J69" s="69" t="str">
        <x:v>MOVE_WITH_IMPORT_UPDATES_AND_COMPATIBILITY_WRAPPER</x:v>
      </x:c>
      <x:c r="K69" s="70" t="b">
        <x:v>1</x:v>
      </x:c>
      <x:c r="L69" s="70" t="b">
        <x:v>0</x:v>
      </x:c>
      <x:c r="M69" s="70" t="b">
        <x:v>1</x:v>
      </x:c>
      <x:c r="N69" s="69" t="n">
        <x:v>17</x:v>
      </x:c>
      <x:c r="O69" s="69" t="n">
        <x:v>0</x:v>
      </x:c>
      <x:c r="P69" s="69" t="str">
        <x:v>scripts/build_rag_embeddings.py; tests/unit/test_tiff_ocr_cleanup.py; tests/unit/test_tiff_rag_answer.py; tests/unit/test_tiff_rag_eval.py; tests/unit/test_tiff_rag_exact_lookup_no_hybrid_noise.py; tests/unit/test_tiff_rag_hybrid_retrieval.py; tests/unit/test_tiff_rag_hybrid_routing.py; tests/unit/test_tiff_rag_incremental_embedding_reuse.py; tests/unit/test_tiff_rag_nomenclature_reverse_lookup.py; tests/unit/test_tiff_rag_retriever.py; … +7 more</x:v>
      </x:c>
      <x:c r="Q69" s="71" t="n">
        <x:v>0.95</x:v>
      </x:c>
      <x:c r="R69" s="69" t="str">
        <x:v>retrieval/search naming</x:v>
      </x:c>
      <x:c r="S69" s="69" t="str">
        <x:v>Primary implementation belongs to the retrieval stage based on filename, imports, and inventory evidence.</x:v>
      </x:c>
      <x:c r="T69" s="69" t="str">
        <x:v>Update imports and retain the old tiff module as a wrapper when callers exist.</x:v>
      </x:c>
      <x:c r="U69" s="69" t="str"/>
      <x:c r="V69" s="69" t="str"/>
      <x:c r="W69" s="69" t="str"/>
      <x:c r="X69" s="72" t="n">
        <x:v>45203</x:v>
      </x:c>
      <x:c r="Y69" s="70" t="b">
        <x:v>1</x:v>
      </x:c>
      <x:c r="Z69" s="69" t="str">
        <x:v>Compatibility required</x:v>
      </x:c>
      <x:c r="AA69" s="69" t="str">
        <x:v>https://github.com/jwild2027/heico-ai-internship-summer-2026/blob/srv/tiff/rag_retriever.py</x:v>
      </x:c>
      <x:c r="AB69" s="69" t="str">
        <x:v>shared &lt;= symbol:schema, string:helper, string:source_id; ingestion &lt;= path:tiff, string:tiff; ocr &lt;= string:ocr; tables &lt;= string:table; embeddings &lt;= symbol:embedding, string:bge_m3, string:embedding; retrieval &lt;= path:retriev, symbol:retriev, string:retriev</x:v>
      </x:c>
    </x:row>
    <x:row r="70">
      <x:c r="A70" s="68" t="n">
        <x:v>69</x:v>
      </x:c>
      <x:c r="B70" s="69" t="str">
        <x:v>tiff/rag_router.py</x:v>
      </x:c>
      <x:c r="C70" s="69" t="str">
        <x:v>rag_router.py</x:v>
      </x:c>
      <x:c r="D70" s="69" t="str">
        <x:v>ingestion</x:v>
      </x:c>
      <x:c r="E70" s="69" t="str">
        <x:v>router, retrieval, serving</x:v>
      </x:c>
      <x:c r="F70" s="69" t="str">
        <x:v>router</x:v>
      </x:c>
      <x:c r="G70" s="69" t="str">
        <x:v>src/trace_net/router/</x:v>
      </x:c>
      <x:c r="H70" s="69" t="str">
        <x:v>src/trace_net/router/rag_router.py</x:v>
      </x:c>
      <x:c r="I70" s="69" t="str">
        <x:v>active library module</x:v>
      </x:c>
      <x:c r="J70" s="69" t="str">
        <x:v>MOVE_WITH_IMPORT_UPDATES_AND_COMPATIBILITY_WRAPPER</x:v>
      </x:c>
      <x:c r="K70" s="70" t="b">
        <x:v>1</x:v>
      </x:c>
      <x:c r="L70" s="70" t="b">
        <x:v>0</x:v>
      </x:c>
      <x:c r="M70" s="70" t="b">
        <x:v>1</x:v>
      </x:c>
      <x:c r="N70" s="69" t="n">
        <x:v>3</x:v>
      </x:c>
      <x:c r="O70" s="69" t="n">
        <x:v>0</x:v>
      </x:c>
      <x:c r="P70" s="69" t="str">
        <x:v>tests/unit/test_tiff_rag_hybrid_routing.py; tiff/rag_answer.py; tiff/rag_retriever.py</x:v>
      </x:c>
      <x:c r="Q70" s="71" t="n">
        <x:v>0.95</x:v>
      </x:c>
      <x:c r="R70" s="69" t="str">
        <x:v>router/route naming</x:v>
      </x:c>
      <x:c r="S70" s="69" t="str">
        <x:v>Primary implementation belongs to the router stage based on filename, imports, and inventory evidence.</x:v>
      </x:c>
      <x:c r="T70" s="69" t="str">
        <x:v>Update imports and retain the old tiff module as a wrapper when callers exist.</x:v>
      </x:c>
      <x:c r="U70" s="69" t="str"/>
      <x:c r="V70" s="69" t="str"/>
      <x:c r="W70" s="69" t="str"/>
      <x:c r="X70" s="72" t="n">
        <x:v>7182</x:v>
      </x:c>
      <x:c r="Y70" s="70" t="b">
        <x:v>1</x:v>
      </x:c>
      <x:c r="Z70" s="69" t="str">
        <x:v>Compatibility required</x:v>
      </x:c>
      <x:c r="AA70" s="69" t="str">
        <x:v>https://github.com/jwild2027/heico-ai-internship-summer-2026/blob/srv/tiff/rag_router.py</x:v>
      </x:c>
      <x:c r="AB70" s="69" t="str">
        <x:v>ingestion &lt;= path:tiff, string:tiff; ocr &lt;= string:ocr; retrieval &lt;= string:retriev; router &lt;= path:router, string:routing; serving &lt;= import:sse, string:sse; benchmarks &lt;= string:eval</x:v>
      </x:c>
    </x:row>
    <x:row r="71">
      <x:c r="A71" s="68" t="n">
        <x:v>70</x:v>
      </x:c>
      <x:c r="B71" s="69" t="str">
        <x:v>tiff/rag_web_ui.py</x:v>
      </x:c>
      <x:c r="C71" s="69" t="str">
        <x:v>rag_web_ui.py</x:v>
      </x:c>
      <x:c r="D71" s="69" t="str">
        <x:v>serving</x:v>
      </x:c>
      <x:c r="E71" s="69" t="str">
        <x:v>ingestion</x:v>
      </x:c>
      <x:c r="F71" s="69" t="str">
        <x:v>serving</x:v>
      </x:c>
      <x:c r="G71" s="69" t="str">
        <x:v>src/trace_net/serving/</x:v>
      </x:c>
      <x:c r="H71" s="69" t="str">
        <x:v>src/trace_net/serving/rag_web_ui.py</x:v>
      </x:c>
      <x:c r="I71" s="69" t="str">
        <x:v>active library module</x:v>
      </x:c>
      <x:c r="J71" s="69" t="str">
        <x:v>MOVE_WITH_PROTECTED_COMPATIBILITY_WRAPPER</x:v>
      </x:c>
      <x:c r="K71" s="70" t="b">
        <x:v>1</x:v>
      </x:c>
      <x:c r="L71" s="70" t="b">
        <x:v>1</x:v>
      </x:c>
      <x:c r="M71" s="70" t="b">
        <x:v>1</x:v>
      </x:c>
      <x:c r="N71" s="69" t="n">
        <x:v>1</x:v>
      </x:c>
      <x:c r="O71" s="69" t="n">
        <x:v>0</x:v>
      </x:c>
      <x:c r="P71" s="69" t="str">
        <x:v>scripts/serve_tiff_rag_ui.py</x:v>
      </x:c>
      <x:c r="Q71" s="71" t="n">
        <x:v>0.95</x:v>
      </x:c>
      <x:c r="R71" s="69" t="str">
        <x:v>inventory stage: serving</x:v>
      </x:c>
      <x:c r="S71" s="69" t="str">
        <x:v>Primary implementation belongs to the serving stage based on filename, imports, and inventory evidence.</x:v>
      </x:c>
      <x:c r="T71" s="69" t="str">
        <x:v>Update imports and retain the old tiff module as a wrapper when callers exist.</x:v>
      </x:c>
      <x:c r="U71" s="69" t="str">
        <x:v>8090</x:v>
      </x:c>
      <x:c r="V71" s="69" t="str"/>
      <x:c r="W71" s="69" t="str"/>
      <x:c r="X71" s="72" t="n">
        <x:v>10714</x:v>
      </x:c>
      <x:c r="Y71" s="70" t="b">
        <x:v>1</x:v>
      </x:c>
      <x:c r="Z71" s="69" t="str">
        <x:v>Protected runtime</x:v>
      </x:c>
      <x:c r="AA71" s="69" t="str">
        <x:v>https://github.com/jwild2027/heico-ai-internship-summer-2026/blob/srv/tiff/rag_web_ui.py</x:v>
      </x:c>
      <x:c r="AB71" s="69" t="str">
        <x:v>ingestion &lt;= path:tiff, string:tiff; ocr &lt;= string:ocr; embeddings &lt;= string:bge_m3, string:embedding; retrieval &lt;= string:retriev; serving &lt;= symbol:serve, import:http, import:serve, import:server; benchmarks &lt;= string:eval</x:v>
      </x:c>
    </x:row>
    <x:row r="72">
      <x:c r="A72" s="68" t="n">
        <x:v>71</x:v>
      </x:c>
      <x:c r="B72" s="69" t="str">
        <x:v>tiff/real_scale_intake.py</x:v>
      </x:c>
      <x:c r="C72" s="69" t="str">
        <x:v>real_scale_intake.py</x:v>
      </x:c>
      <x:c r="D72" s="69" t="str">
        <x:v>ingestion</x:v>
      </x:c>
      <x:c r="E72" s="69" t="str">
        <x:v>serving</x:v>
      </x:c>
      <x:c r="F72" s="69" t="str">
        <x:v>ingestion</x:v>
      </x:c>
      <x:c r="G72" s="69" t="str">
        <x:v>src/trace_net/ingestion/</x:v>
      </x:c>
      <x:c r="H72" s="69" t="str">
        <x:v>src/trace_net/ingestion/real_scale_intake.py</x:v>
      </x:c>
      <x:c r="I72" s="69" t="str">
        <x:v>active library module</x:v>
      </x:c>
      <x:c r="J72" s="69" t="str">
        <x:v>MOVE_WITH_IMPORT_UPDATES_AND_COMPATIBILITY_WRAPPER</x:v>
      </x:c>
      <x:c r="K72" s="70" t="b">
        <x:v>1</x:v>
      </x:c>
      <x:c r="L72" s="70" t="b">
        <x:v>0</x:v>
      </x:c>
      <x:c r="M72" s="70" t="b">
        <x:v>1</x:v>
      </x:c>
      <x:c r="N72" s="69" t="n">
        <x:v>3</x:v>
      </x:c>
      <x:c r="O72" s="69" t="n">
        <x:v>0</x:v>
      </x:c>
      <x:c r="P72" s="69" t="str">
        <x:v>scripts/audit_source_package_traceability.py; scripts/plan_real_server_intake.py; tests/unit/test_tiff_real_scale_intake.py</x:v>
      </x:c>
      <x:c r="Q72" s="71" t="n">
        <x:v>0.95</x:v>
      </x:c>
      <x:c r="R72" s="69" t="str">
        <x:v>inventory stage: ingestion</x:v>
      </x:c>
      <x:c r="S72" s="69" t="str">
        <x:v>Primary implementation belongs to the ingestion stage based on filename, imports, and inventory evidence.</x:v>
      </x:c>
      <x:c r="T72" s="69" t="str">
        <x:v>Update imports and retain the old tiff module as a wrapper when callers exist.</x:v>
      </x:c>
      <x:c r="U72" s="69" t="str"/>
      <x:c r="V72" s="69" t="str"/>
      <x:c r="W72" s="69" t="str"/>
      <x:c r="X72" s="72" t="n">
        <x:v>20540</x:v>
      </x:c>
      <x:c r="Y72" s="70" t="b">
        <x:v>1</x:v>
      </x:c>
      <x:c r="Z72" s="69" t="str">
        <x:v>Compatibility required</x:v>
      </x:c>
      <x:c r="AA72" s="69" t="str">
        <x:v>https://github.com/jwild2027/heico-ai-internship-summer-2026/blob/srv/tiff/real_scale_intake.py</x:v>
      </x:c>
      <x:c r="AB72" s="69" t="str">
        <x:v>shared &lt;= string:helper; ingestion &lt;= path:tiff, symbol:extract_page, string:convert, string:inventory, string:tiff; ocr &lt;= string:ocr; graph &lt;= string:graph; embeddings &lt;= string:qdrant; retrieval &lt;= string:opensearch</x:v>
      </x:c>
    </x:row>
    <x:row r="73">
      <x:c r="A73" s="68" t="n">
        <x:v>72</x:v>
      </x:c>
      <x:c r="B73" s="69" t="str">
        <x:v>tiff/real_server_inventory.py</x:v>
      </x:c>
      <x:c r="C73" s="69" t="str">
        <x:v>real_server_inventory.py</x:v>
      </x:c>
      <x:c r="D73" s="69" t="str">
        <x:v>serving</x:v>
      </x:c>
      <x:c r="E73" s="69" t="str">
        <x:v>ingestion, operations</x:v>
      </x:c>
      <x:c r="F73" s="69" t="str">
        <x:v>serving</x:v>
      </x:c>
      <x:c r="G73" s="69" t="str">
        <x:v>src/trace_net/serving/</x:v>
      </x:c>
      <x:c r="H73" s="69" t="str">
        <x:v>src/trace_net/serving/real_server_inventory.py</x:v>
      </x:c>
      <x:c r="I73" s="69" t="str">
        <x:v>serving/runtime module</x:v>
      </x:c>
      <x:c r="J73" s="69" t="str">
        <x:v>MOVE_WITH_PROTECTED_COMPATIBILITY_WRAPPER</x:v>
      </x:c>
      <x:c r="K73" s="70" t="b">
        <x:v>1</x:v>
      </x:c>
      <x:c r="L73" s="70" t="b">
        <x:v>0</x:v>
      </x:c>
      <x:c r="M73" s="70" t="b">
        <x:v>1</x:v>
      </x:c>
      <x:c r="N73" s="69" t="n">
        <x:v>2</x:v>
      </x:c>
      <x:c r="O73" s="69" t="n">
        <x:v>0</x:v>
      </x:c>
      <x:c r="P73" s="69" t="str">
        <x:v>scripts/audit_real_server_inventory.py; tests/unit/test_tiff_real_server_inventory.py</x:v>
      </x:c>
      <x:c r="Q73" s="71" t="n">
        <x:v>0.98</x:v>
      </x:c>
      <x:c r="R73" s="69" t="str">
        <x:v>serving/API naming</x:v>
      </x:c>
      <x:c r="S73" s="69" t="str">
        <x:v>API, endpoint, server, bridge, or console implementation used by runtime callers.</x:v>
      </x:c>
      <x:c r="T73" s="69" t="str">
        <x:v>Old entrypoint must remain callable; verify relevant ports and OpenWebUI behavior.</x:v>
      </x:c>
      <x:c r="U73" s="69" t="str"/>
      <x:c r="V73" s="69" t="str"/>
      <x:c r="W73" s="69" t="str"/>
      <x:c r="X73" s="72" t="n">
        <x:v>23607</x:v>
      </x:c>
      <x:c r="Y73" s="70" t="b">
        <x:v>1</x:v>
      </x:c>
      <x:c r="Z73" s="69" t="str">
        <x:v>Compatibility required</x:v>
      </x:c>
      <x:c r="AA73" s="69" t="str">
        <x:v>https://github.com/jwild2027/heico-ai-internship-summer-2026/blob/srv/tiff/real_server_inventory.py</x:v>
      </x:c>
      <x:c r="AB73" s="69" t="str">
        <x:v>ingestion &lt;= path:inventory, path:tiff, symbol:inventory, symbol:tiff, string:inventory, string:pdf, string:tiff; ocr &lt;= string:ocr; tables &lt;= string:ipl; embeddings &lt;= string:embedding, string:qdrant; retrieval &lt;= string:opensearch; context &lt;= string:page_context</x:v>
      </x:c>
    </x:row>
    <x:row r="74">
      <x:c r="A74" s="68" t="n">
        <x:v>73</x:v>
      </x:c>
      <x:c r="B74" s="69" t="str">
        <x:v>tiff/realistic_query_trace_tests.py</x:v>
      </x:c>
      <x:c r="C74" s="69" t="str">
        <x:v>realistic_query_trace_tests.py</x:v>
      </x:c>
      <x:c r="D74" s="69" t="str">
        <x:v>ingestion</x:v>
      </x:c>
      <x:c r="E74" s="69" t="str">
        <x:v>serving</x:v>
      </x:c>
      <x:c r="F74" s="69" t="str">
        <x:v>ingestion</x:v>
      </x:c>
      <x:c r="G74" s="69" t="str">
        <x:v>src/trace_net/ingestion/</x:v>
      </x:c>
      <x:c r="H74" s="69" t="str">
        <x:v>src/trace_net/ingestion/realistic_query_trace_tests.py</x:v>
      </x:c>
      <x:c r="I74" s="69" t="str">
        <x:v>active library module</x:v>
      </x:c>
      <x:c r="J74" s="69" t="str">
        <x:v>MOVE_WITH_IMPORT_UPDATES_AND_COMPATIBILITY_WRAPPER</x:v>
      </x:c>
      <x:c r="K74" s="70" t="b">
        <x:v>1</x:v>
      </x:c>
      <x:c r="L74" s="70" t="b">
        <x:v>0</x:v>
      </x:c>
      <x:c r="M74" s="70" t="b">
        <x:v>1</x:v>
      </x:c>
      <x:c r="N74" s="69" t="n">
        <x:v>2</x:v>
      </x:c>
      <x:c r="O74" s="69" t="n">
        <x:v>0</x:v>
      </x:c>
      <x:c r="P74" s="69" t="str">
        <x:v>scripts/run_realistic_query_trace_tests.py; tests/unit/test_tiff_realistic_query_trace_tests.py</x:v>
      </x:c>
      <x:c r="Q74" s="71" t="n">
        <x:v>0.95</x:v>
      </x:c>
      <x:c r="R74" s="69" t="str">
        <x:v>inventory stage: ingestion</x:v>
      </x:c>
      <x:c r="S74" s="69" t="str">
        <x:v>Primary implementation belongs to the ingestion stage based on filename, imports, and inventory evidence.</x:v>
      </x:c>
      <x:c r="T74" s="69" t="str">
        <x:v>Update imports and retain the old tiff module as a wrapper when callers exist.</x:v>
      </x:c>
      <x:c r="U74" s="69" t="str"/>
      <x:c r="V74" s="69" t="str"/>
      <x:c r="W74" s="69" t="str"/>
      <x:c r="X74" s="72" t="n">
        <x:v>17890</x:v>
      </x:c>
      <x:c r="Y74" s="70" t="b">
        <x:v>1</x:v>
      </x:c>
      <x:c r="Z74" s="69" t="str">
        <x:v>Compatibility required</x:v>
      </x:c>
      <x:c r="AA74" s="69" t="str">
        <x:v>https://github.com/jwild2027/heico-ai-internship-summer-2026/blob/srv/tiff/realistic_query_trace_tests.py</x:v>
      </x:c>
      <x:c r="AB74" s="69" t="str">
        <x:v>ingestion &lt;= path:tiff, string:tiff; graph &lt;= string:graph, string:has_context; embeddings &lt;= string:embedding, string:qdrant; retrieval &lt;= string:retriev; context &lt;= string:page_context; serving &lt;= import:sse, string:sse</x:v>
      </x:c>
    </x:row>
    <x:row r="75">
      <x:c r="A75" s="68" t="n">
        <x:v>74</x:v>
      </x:c>
      <x:c r="B75" s="69" t="str">
        <x:v>tiff/rescarta_deeplink.py</x:v>
      </x:c>
      <x:c r="C75" s="69" t="str">
        <x:v>rescarta_deeplink.py</x:v>
      </x:c>
      <x:c r="D75" s="69" t="str">
        <x:v>ingestion</x:v>
      </x:c>
      <x:c r="E75" s="69" t="str">
        <x:v>tables, serving</x:v>
      </x:c>
      <x:c r="F75" s="69" t="str">
        <x:v>ingestion</x:v>
      </x:c>
      <x:c r="G75" s="69" t="str">
        <x:v>src/trace_net/ingestion/</x:v>
      </x:c>
      <x:c r="H75" s="69" t="str">
        <x:v>src/trace_net/ingestion/rescarta_deeplink.py</x:v>
      </x:c>
      <x:c r="I75" s="69" t="str">
        <x:v>active library module</x:v>
      </x:c>
      <x:c r="J75" s="69" t="str">
        <x:v>MOVE_WITH_PROTECTED_COMPATIBILITY_WRAPPER</x:v>
      </x:c>
      <x:c r="K75" s="70" t="b">
        <x:v>1</x:v>
      </x:c>
      <x:c r="L75" s="70" t="b">
        <x:v>1</x:v>
      </x:c>
      <x:c r="M75" s="70" t="b">
        <x:v>1</x:v>
      </x:c>
      <x:c r="N75" s="69" t="n">
        <x:v>4</x:v>
      </x:c>
      <x:c r="O75" s="69" t="n">
        <x:v>0</x:v>
      </x:c>
      <x:c r="P75" s="69" t="str">
        <x:v>scripts/preview_rescarta_links.py; scripts/validate_rescarta_link_template.py; tests/unit/test_tiff_rescarta_deeplink.py; tools/patch_archive/apply_rescarta_links.py</x:v>
      </x:c>
      <x:c r="Q75" s="71" t="n">
        <x:v>0.95</x:v>
      </x:c>
      <x:c r="R75" s="69" t="str">
        <x:v>inventory stage: ingestion</x:v>
      </x:c>
      <x:c r="S75" s="69" t="str">
        <x:v>Primary implementation belongs to the ingestion stage based on filename, imports, and inventory evidence.</x:v>
      </x:c>
      <x:c r="T75" s="69" t="str">
        <x:v>Update imports and retain the old tiff module as a wrapper when callers exist.</x:v>
      </x:c>
      <x:c r="U75" s="69" t="str">
        <x:v>8080</x:v>
      </x:c>
      <x:c r="V75" s="69" t="str"/>
      <x:c r="W75" s="69" t="str"/>
      <x:c r="X75" s="72" t="n">
        <x:v>10660</x:v>
      </x:c>
      <x:c r="Y75" s="70" t="b">
        <x:v>1</x:v>
      </x:c>
      <x:c r="Z75" s="69" t="str">
        <x:v>Protected runtime</x:v>
      </x:c>
      <x:c r="AA75" s="69" t="str">
        <x:v>https://github.com/jwild2027/heico-ai-internship-summer-2026/blob/srv/tiff/rescarta_deeplink.py</x:v>
      </x:c>
      <x:c r="AB75" s="69" t="str">
        <x:v>shared &lt;= string:helper; ingestion &lt;= path:tiff, string:tiff; ocr &lt;= string:ocr; tables &lt;= symbol:column, string:column, string:table; serving &lt;= import:sse, string:http; operations &lt;= string:deploy, string:deployment, string:install</x:v>
      </x:c>
    </x:row>
    <x:row r="76">
      <x:c r="A76" s="68" t="n">
        <x:v>75</x:v>
      </x:c>
      <x:c r="B76" s="69" t="str">
        <x:v>tiff/search_index.py</x:v>
      </x:c>
      <x:c r="C76" s="69" t="str">
        <x:v>search_index.py</x:v>
      </x:c>
      <x:c r="D76" s="69" t="str">
        <x:v>ingestion</x:v>
      </x:c>
      <x:c r="E76" s="69" t="str"/>
      <x:c r="F76" s="69" t="str">
        <x:v>retrieval</x:v>
      </x:c>
      <x:c r="G76" s="69" t="str">
        <x:v>src/trace_net/retrieval/</x:v>
      </x:c>
      <x:c r="H76" s="69" t="str">
        <x:v>src/trace_net/retrieval/search_index.py</x:v>
      </x:c>
      <x:c r="I76" s="69" t="str">
        <x:v>artifact builder implementation</x:v>
      </x:c>
      <x:c r="J76" s="69" t="str">
        <x:v>MOVE_WITH_IMPORT_UPDATES_AND_COMPATIBILITY_WRAPPER</x:v>
      </x:c>
      <x:c r="K76" s="70" t="b">
        <x:v>1</x:v>
      </x:c>
      <x:c r="L76" s="70" t="b">
        <x:v>0</x:v>
      </x:c>
      <x:c r="M76" s="70" t="b">
        <x:v>1</x:v>
      </x:c>
      <x:c r="N76" s="69" t="n">
        <x:v>18</x:v>
      </x:c>
      <x:c r="O76" s="69" t="n">
        <x:v>0</x:v>
      </x:c>
      <x:c r="P76" s="69" t="str">
        <x:v>scripts/build_tiff_search_index.py; scripts/export_tiff_search_csv.py; scripts/export_tiff_search_html.py; scripts/inspect_part_number.py; scripts/search_tiffs.py; tests/unit/test_tiff_changed_page_backend_update.py; tests/unit/test_tiff_changed_page_update.py; tests/unit/test_tiff_part_catalog.py; tests/unit/test_tiff_search_index.py; tests/unit/test_tiff_search_results_html.py; … +8 more</x:v>
      </x:c>
      <x:c r="Q76" s="71" t="n">
        <x:v>0.96</x:v>
      </x:c>
      <x:c r="R76" s="69" t="str">
        <x:v>retrieval/search naming</x:v>
      </x:c>
      <x:c r="S76" s="69" t="str">
        <x:v>Build implementation is imported by active wrappers/tests and belongs to the retrieval package.</x:v>
      </x:c>
      <x:c r="T76" s="69" t="str">
        <x:v>Update wrapper imports and compare generated artifact counts/checksums.</x:v>
      </x:c>
      <x:c r="U76" s="69" t="str"/>
      <x:c r="V76" s="69" t="str"/>
      <x:c r="W76" s="69" t="str"/>
      <x:c r="X76" s="72" t="n">
        <x:v>34890</x:v>
      </x:c>
      <x:c r="Y76" s="70" t="b">
        <x:v>1</x:v>
      </x:c>
      <x:c r="Z76" s="69" t="str">
        <x:v>Compatibility required</x:v>
      </x:c>
      <x:c r="AA76" s="69" t="str">
        <x:v>https://github.com/jwild2027/heico-ai-internship-summer-2026/blob/srv/tiff/search_index.py</x:v>
      </x:c>
      <x:c r="AB76" s="69" t="str">
        <x:v>shared &lt;= symbol:schema, string:helper, string:identifier, string:schema; ingestion &lt;= path:tiff, symbol:tiff, import:tiff, string:tiff; ocr &lt;= string:ocr; visual &lt;= string:vision; tables &lt;= symbol:table, string:table; router &lt;= string:routing</x:v>
      </x:c>
    </x:row>
    <x:row r="77">
      <x:c r="A77" s="68" t="n">
        <x:v>76</x:v>
      </x:c>
      <x:c r="B77" s="69" t="str">
        <x:v>tiff/search_results_html.py</x:v>
      </x:c>
      <x:c r="C77" s="69" t="str">
        <x:v>search_results_html.py</x:v>
      </x:c>
      <x:c r="D77" s="69" t="str">
        <x:v>ingestion</x:v>
      </x:c>
      <x:c r="E77" s="69" t="str"/>
      <x:c r="F77" s="69" t="str">
        <x:v>retrieval</x:v>
      </x:c>
      <x:c r="G77" s="69" t="str">
        <x:v>src/trace_net/retrieval/</x:v>
      </x:c>
      <x:c r="H77" s="69" t="str">
        <x:v>src/trace_net/retrieval/search_results_html.py</x:v>
      </x:c>
      <x:c r="I77" s="69" t="str">
        <x:v>active library module</x:v>
      </x:c>
      <x:c r="J77" s="69" t="str">
        <x:v>MOVE_WITH_IMPORT_UPDATES_AND_COMPATIBILITY_WRAPPER</x:v>
      </x:c>
      <x:c r="K77" s="70" t="b">
        <x:v>1</x:v>
      </x:c>
      <x:c r="L77" s="70" t="b">
        <x:v>0</x:v>
      </x:c>
      <x:c r="M77" s="70" t="b">
        <x:v>1</x:v>
      </x:c>
      <x:c r="N77" s="69" t="n">
        <x:v>2</x:v>
      </x:c>
      <x:c r="O77" s="69" t="n">
        <x:v>0</x:v>
      </x:c>
      <x:c r="P77" s="69" t="str">
        <x:v>scripts/export_tiff_search_html.py; tests/unit/test_tiff_search_results_html.py</x:v>
      </x:c>
      <x:c r="Q77" s="71" t="n">
        <x:v>0.95</x:v>
      </x:c>
      <x:c r="R77" s="69" t="str">
        <x:v>retrieval/search naming</x:v>
      </x:c>
      <x:c r="S77" s="69" t="str">
        <x:v>Primary implementation belongs to the retrieval stage based on filename, imports, and inventory evidence.</x:v>
      </x:c>
      <x:c r="T77" s="69" t="str">
        <x:v>Update imports and retain the old tiff module as a wrapper when callers exist.</x:v>
      </x:c>
      <x:c r="U77" s="69" t="str"/>
      <x:c r="V77" s="69" t="str"/>
      <x:c r="W77" s="69" t="str"/>
      <x:c r="X77" s="72" t="n">
        <x:v>10715</x:v>
      </x:c>
      <x:c r="Y77" s="70" t="b">
        <x:v>1</x:v>
      </x:c>
      <x:c r="Z77" s="69" t="str">
        <x:v>Compatibility required</x:v>
      </x:c>
      <x:c r="AA77" s="69" t="str">
        <x:v>https://github.com/jwild2027/heico-ai-internship-summer-2026/blob/srv/tiff/search_results_html.py</x:v>
      </x:c>
      <x:c r="AB77" s="69" t="str">
        <x:v>ingestion &lt;= path:tiff, import:tiff, string:convert, string:tiff; ocr &lt;= string:ocr; tables &lt;= string:table; serving &lt;= string:http, string:serve, string:server; referenced_by_count=1; imported_by_count=2</x:v>
      </x:c>
    </x:row>
    <x:row r="78">
      <x:c r="A78" s="68" t="n">
        <x:v>77</x:v>
      </x:c>
      <x:c r="B78" s="69" t="str">
        <x:v>tiff/search_web_ui.py</x:v>
      </x:c>
      <x:c r="C78" s="69" t="str">
        <x:v>search_web_ui.py</x:v>
      </x:c>
      <x:c r="D78" s="69" t="str">
        <x:v>serving</x:v>
      </x:c>
      <x:c r="E78" s="69" t="str">
        <x:v>ingestion</x:v>
      </x:c>
      <x:c r="F78" s="69" t="str">
        <x:v>retrieval</x:v>
      </x:c>
      <x:c r="G78" s="69" t="str">
        <x:v>src/trace_net/retrieval/</x:v>
      </x:c>
      <x:c r="H78" s="69" t="str">
        <x:v>src/trace_net/retrieval/search_web_ui.py</x:v>
      </x:c>
      <x:c r="I78" s="69" t="str">
        <x:v>active library module</x:v>
      </x:c>
      <x:c r="J78" s="69" t="str">
        <x:v>MOVE_WITH_PROTECTED_COMPATIBILITY_WRAPPER</x:v>
      </x:c>
      <x:c r="K78" s="70" t="b">
        <x:v>1</x:v>
      </x:c>
      <x:c r="L78" s="70" t="b">
        <x:v>1</x:v>
      </x:c>
      <x:c r="M78" s="70" t="b">
        <x:v>1</x:v>
      </x:c>
      <x:c r="N78" s="69" t="n">
        <x:v>4</x:v>
      </x:c>
      <x:c r="O78" s="69" t="n">
        <x:v>0</x:v>
      </x:c>
      <x:c r="P78" s="69" t="str">
        <x:v>scripts/export_tiff_search_csv.py; scripts/serve_tiff_search_ui.py; tests/unit/test_tiff_part_catalog.py; tests/unit/test_tiff_search_web_ui.py</x:v>
      </x:c>
      <x:c r="Q78" s="71" t="n">
        <x:v>0.95</x:v>
      </x:c>
      <x:c r="R78" s="69" t="str">
        <x:v>retrieval/search naming</x:v>
      </x:c>
      <x:c r="S78" s="69" t="str">
        <x:v>Primary implementation belongs to the retrieval stage based on filename, imports, and inventory evidence.</x:v>
      </x:c>
      <x:c r="T78" s="69" t="str">
        <x:v>Update imports and retain the old tiff module as a wrapper when callers exist.</x:v>
      </x:c>
      <x:c r="U78" s="69" t="str">
        <x:v>8080</x:v>
      </x:c>
      <x:c r="V78" s="69" t="str"/>
      <x:c r="W78" s="69" t="str"/>
      <x:c r="X78" s="72" t="n">
        <x:v>22089</x:v>
      </x:c>
      <x:c r="Y78" s="70" t="b">
        <x:v>1</x:v>
      </x:c>
      <x:c r="Z78" s="69" t="str">
        <x:v>Protected runtime</x:v>
      </x:c>
      <x:c r="AA78" s="69" t="str">
        <x:v>https://github.com/jwild2027/heico-ai-internship-summer-2026/blob/srv/tiff/search_web_ui.py</x:v>
      </x:c>
      <x:c r="AB78" s="69" t="str">
        <x:v>ingestion &lt;= path:tiff, symbol:tiff, import:tiff, string:tiff; ocr &lt;= string:ocr; tables &lt;= string:table; serving &lt;= symbol:http, symbol:serve, symbol:server, import:http, import:serve, import:server, import:sse, string:http; declares runtime ports: [8080]; referenced_by_count=1</x:v>
      </x:c>
    </x:row>
    <x:row r="79">
      <x:c r="A79" s="68" t="n">
        <x:v>78</x:v>
      </x:c>
      <x:c r="B79" s="69" t="str">
        <x:v>tiff/server_access_runbook.py</x:v>
      </x:c>
      <x:c r="C79" s="69" t="str">
        <x:v>server_access_runbook.py</x:v>
      </x:c>
      <x:c r="D79" s="69" t="str">
        <x:v>serving</x:v>
      </x:c>
      <x:c r="E79" s="69" t="str">
        <x:v>operations, ingestion</x:v>
      </x:c>
      <x:c r="F79" s="69" t="str">
        <x:v>serving</x:v>
      </x:c>
      <x:c r="G79" s="69" t="str">
        <x:v>src/trace_net/serving/</x:v>
      </x:c>
      <x:c r="H79" s="69" t="str">
        <x:v>src/trace_net/serving/server_access_runbook.py</x:v>
      </x:c>
      <x:c r="I79" s="69" t="str">
        <x:v>serving/runtime module</x:v>
      </x:c>
      <x:c r="J79" s="69" t="str">
        <x:v>MOVE_WITH_PROTECTED_COMPATIBILITY_WRAPPER</x:v>
      </x:c>
      <x:c r="K79" s="70" t="b">
        <x:v>1</x:v>
      </x:c>
      <x:c r="L79" s="70" t="b">
        <x:v>0</x:v>
      </x:c>
      <x:c r="M79" s="70" t="b">
        <x:v>1</x:v>
      </x:c>
      <x:c r="N79" s="69" t="n">
        <x:v>2</x:v>
      </x:c>
      <x:c r="O79" s="69" t="n">
        <x:v>0</x:v>
      </x:c>
      <x:c r="P79" s="69" t="str">
        <x:v>scripts/prepare_server_access_runbook.py; tests/unit/test_tiff_server_access_runbook.py</x:v>
      </x:c>
      <x:c r="Q79" s="71" t="n">
        <x:v>0.98</x:v>
      </x:c>
      <x:c r="R79" s="69" t="str">
        <x:v>serving/API naming</x:v>
      </x:c>
      <x:c r="S79" s="69" t="str">
        <x:v>API, endpoint, server, bridge, or console implementation used by runtime callers.</x:v>
      </x:c>
      <x:c r="T79" s="69" t="str">
        <x:v>Old entrypoint must remain callable; verify relevant ports and OpenWebUI behavior.</x:v>
      </x:c>
      <x:c r="U79" s="69" t="str"/>
      <x:c r="V79" s="69" t="str"/>
      <x:c r="W79" s="69" t="str"/>
      <x:c r="X79" s="72" t="n">
        <x:v>15985</x:v>
      </x:c>
      <x:c r="Y79" s="70" t="b">
        <x:v>1</x:v>
      </x:c>
      <x:c r="Z79" s="69" t="str">
        <x:v>Compatibility required</x:v>
      </x:c>
      <x:c r="AA79" s="69" t="str">
        <x:v>https://github.com/jwild2027/heico-ai-internship-summer-2026/blob/srv/tiff/server_access_runbook.py</x:v>
      </x:c>
      <x:c r="AB79" s="69" t="str">
        <x:v>shared &lt;= string:contract, string:helper, string:schema; ingestion &lt;= path:tiff, string:inventory, string:pdf, string:tiff; ocr &lt;= string:ocr; tables &lt;= string:table; graph &lt;= string:graph; embeddings &lt;= string:embedding, string:qdrant</x:v>
      </x:c>
    </x:row>
    <x:row r="80">
      <x:c r="A80" s="68" t="n">
        <x:v>79</x:v>
      </x:c>
      <x:c r="B80" s="69" t="str">
        <x:v>tiff/source_link_audit.py</x:v>
      </x:c>
      <x:c r="C80" s="69" t="str">
        <x:v>source_link_audit.py</x:v>
      </x:c>
      <x:c r="D80" s="69" t="str">
        <x:v>ingestion</x:v>
      </x:c>
      <x:c r="E80" s="69" t="str">
        <x:v>tables, serving</x:v>
      </x:c>
      <x:c r="F80" s="69" t="str">
        <x:v>ingestion</x:v>
      </x:c>
      <x:c r="G80" s="69" t="str">
        <x:v>src/trace_net/ingestion/</x:v>
      </x:c>
      <x:c r="H80" s="69" t="str">
        <x:v>src/trace_net/ingestion/source_link_audit.py</x:v>
      </x:c>
      <x:c r="I80" s="69" t="str">
        <x:v>active library module</x:v>
      </x:c>
      <x:c r="J80" s="69" t="str">
        <x:v>MOVE_WITH_IMPORT_UPDATES_AND_COMPATIBILITY_WRAPPER</x:v>
      </x:c>
      <x:c r="K80" s="70" t="b">
        <x:v>1</x:v>
      </x:c>
      <x:c r="L80" s="70" t="b">
        <x:v>0</x:v>
      </x:c>
      <x:c r="M80" s="70" t="b">
        <x:v>1</x:v>
      </x:c>
      <x:c r="N80" s="69" t="n">
        <x:v>2</x:v>
      </x:c>
      <x:c r="O80" s="69" t="n">
        <x:v>0</x:v>
      </x:c>
      <x:c r="P80" s="69" t="str">
        <x:v>scripts/audit_source_links.py; tests/unit/test_tiff_source_link_audit.py</x:v>
      </x:c>
      <x:c r="Q80" s="71" t="n">
        <x:v>0.95</x:v>
      </x:c>
      <x:c r="R80" s="69" t="str">
        <x:v>inventory stage: ingestion</x:v>
      </x:c>
      <x:c r="S80" s="69" t="str">
        <x:v>Primary implementation belongs to the ingestion stage based on filename, imports, and inventory evidence.</x:v>
      </x:c>
      <x:c r="T80" s="69" t="str">
        <x:v>Update imports and retain the old tiff module as a wrapper when callers exist.</x:v>
      </x:c>
      <x:c r="U80" s="69" t="str"/>
      <x:c r="V80" s="69" t="str"/>
      <x:c r="W80" s="69" t="str"/>
      <x:c r="X80" s="72" t="n">
        <x:v>15255</x:v>
      </x:c>
      <x:c r="Y80" s="70" t="b">
        <x:v>1</x:v>
      </x:c>
      <x:c r="Z80" s="69" t="str">
        <x:v>Compatibility required</x:v>
      </x:c>
      <x:c r="AA80" s="69" t="str">
        <x:v>https://github.com/jwild2027/heico-ai-internship-summer-2026/blob/srv/tiff/source_link_audit.py</x:v>
      </x:c>
      <x:c r="AB80" s="69" t="str">
        <x:v>shared &lt;= string:helper; ingestion &lt;= path:tiff, string:tiff; ocr &lt;= string:ocr; tables &lt;= symbol:table, string:table; validation &lt;= string:fallback; serving &lt;= import:sse, string:bridge</x:v>
      </x:c>
    </x:row>
    <x:row r="81">
      <x:c r="A81" s="68" t="n">
        <x:v>80</x:v>
      </x:c>
      <x:c r="B81" s="69" t="str">
        <x:v>tiff/source_links.py</x:v>
      </x:c>
      <x:c r="C81" s="69" t="str">
        <x:v>source_links.py</x:v>
      </x:c>
      <x:c r="D81" s="69" t="str">
        <x:v>ingestion</x:v>
      </x:c>
      <x:c r="E81" s="69" t="str">
        <x:v>tables, shared, validation</x:v>
      </x:c>
      <x:c r="F81" s="69" t="str">
        <x:v>ingestion</x:v>
      </x:c>
      <x:c r="G81" s="69" t="str">
        <x:v>src/trace_net/ingestion/</x:v>
      </x:c>
      <x:c r="H81" s="69" t="str">
        <x:v>src/trace_net/ingestion/source_links.py</x:v>
      </x:c>
      <x:c r="I81" s="69" t="str">
        <x:v>active library module</x:v>
      </x:c>
      <x:c r="J81" s="69" t="str">
        <x:v>MOVE_WITH_IMPORT_UPDATES_AND_COMPATIBILITY_WRAPPER</x:v>
      </x:c>
      <x:c r="K81" s="70" t="b">
        <x:v>1</x:v>
      </x:c>
      <x:c r="L81" s="70" t="b">
        <x:v>0</x:v>
      </x:c>
      <x:c r="M81" s="70" t="b">
        <x:v>1</x:v>
      </x:c>
      <x:c r="N81" s="69" t="n">
        <x:v>3</x:v>
      </x:c>
      <x:c r="O81" s="69" t="n">
        <x:v>0</x:v>
      </x:c>
      <x:c r="P81" s="69" t="str">
        <x:v>scripts/build_rescarta_mapping.py; scripts/report_rescarta_mapping.py; tests/unit/test_tiff_source_links.py</x:v>
      </x:c>
      <x:c r="Q81" s="71" t="n">
        <x:v>0.95</x:v>
      </x:c>
      <x:c r="R81" s="69" t="str">
        <x:v>inventory stage: ingestion</x:v>
      </x:c>
      <x:c r="S81" s="69" t="str">
        <x:v>Primary implementation belongs to the ingestion stage based on filename, imports, and inventory evidence.</x:v>
      </x:c>
      <x:c r="T81" s="69" t="str">
        <x:v>Update imports and retain the old tiff module as a wrapper when callers exist.</x:v>
      </x:c>
      <x:c r="U81" s="69" t="str"/>
      <x:c r="V81" s="69" t="str"/>
      <x:c r="W81" s="69" t="str"/>
      <x:c r="X81" s="72" t="n">
        <x:v>18944</x:v>
      </x:c>
      <x:c r="Y81" s="70" t="b">
        <x:v>1</x:v>
      </x:c>
      <x:c r="Z81" s="69" t="str">
        <x:v>Compatibility required</x:v>
      </x:c>
      <x:c r="AA81" s="69" t="str">
        <x:v>https://github.com/jwild2027/heico-ai-internship-summer-2026/blob/srv/tiff/source_links.py</x:v>
      </x:c>
      <x:c r="AB81" s="69" t="str">
        <x:v>shared &lt;= symbol:schema, string:helper, string:identifier; ingestion &lt;= path:tiff, string:tiff; ocr &lt;= string:ocr; tables &lt;= symbol:column, symbol:table, string:table; retrieval &lt;= string:retriev; validation &lt;= symbol:fallback, string:fallback</x:v>
      </x:c>
    </x:row>
    <x:row r="82">
      <x:c r="A82" s="68" t="n">
        <x:v>81</x:v>
      </x:c>
      <x:c r="B82" s="69" t="str">
        <x:v>tiff/source_package_quality.py</x:v>
      </x:c>
      <x:c r="C82" s="69" t="str">
        <x:v>source_package_quality.py</x:v>
      </x:c>
      <x:c r="D82" s="69" t="str">
        <x:v>ingestion</x:v>
      </x:c>
      <x:c r="E82" s="69" t="str">
        <x:v>serving</x:v>
      </x:c>
      <x:c r="F82" s="69" t="str">
        <x:v>validation</x:v>
      </x:c>
      <x:c r="G82" s="69" t="str">
        <x:v>src/trace_net/validation/</x:v>
      </x:c>
      <x:c r="H82" s="69" t="str">
        <x:v>src/trace_net/validation/source_package_quality.py</x:v>
      </x:c>
      <x:c r="I82" s="69" t="str">
        <x:v>quality validator module</x:v>
      </x:c>
      <x:c r="J82" s="69" t="str">
        <x:v>MOVE_WITH_IMPORT_UPDATES_AND_COMPATIBILITY_WRAPPER</x:v>
      </x:c>
      <x:c r="K82" s="70" t="b">
        <x:v>1</x:v>
      </x:c>
      <x:c r="L82" s="70" t="b">
        <x:v>0</x:v>
      </x:c>
      <x:c r="M82" s="70" t="b">
        <x:v>1</x:v>
      </x:c>
      <x:c r="N82" s="69" t="n">
        <x:v>4</x:v>
      </x:c>
      <x:c r="O82" s="69" t="n">
        <x:v>0</x:v>
      </x:c>
      <x:c r="P82" s="69" t="str">
        <x:v>scripts/check_source_package_quality.py; scripts/refresh_source_package_quality_summary.py; tests/unit/test_tiff_source_package_quality.py; tiff/pipeline_quality.py</x:v>
      </x:c>
      <x:c r="Q82" s="71" t="n">
        <x:v>0.97</x:v>
      </x:c>
      <x:c r="R82" s="69" t="str">
        <x:v>validation/quality naming</x:v>
      </x:c>
      <x:c r="S82" s="69" t="str">
        <x:v>Quality logic is reusable source code for the validation stage.</x:v>
      </x:c>
      <x:c r="T82" s="69" t="str">
        <x:v>Update test and script imports; retain the old tiff import as a thin wrapper until PASS.</x:v>
      </x:c>
      <x:c r="U82" s="69" t="str"/>
      <x:c r="V82" s="69" t="str"/>
      <x:c r="W82" s="69" t="str"/>
      <x:c r="X82" s="72" t="n">
        <x:v>8109</x:v>
      </x:c>
      <x:c r="Y82" s="70" t="b">
        <x:v>1</x:v>
      </x:c>
      <x:c r="Z82" s="69" t="str">
        <x:v>Compatibility required</x:v>
      </x:c>
      <x:c r="AA82" s="69" t="str">
        <x:v>https://github.com/jwild2027/heico-ai-internship-summer-2026/blob/srv/tiff/source_package_quality.py</x:v>
      </x:c>
      <x:c r="AB82" s="69" t="str">
        <x:v>ingestion &lt;= path:tiff, string:tiff; validation &lt;= string:quality_gate; serving &lt;= import:sse, string:sse; referenced_by_count=1; imported_by_count=4</x:v>
      </x:c>
    </x:row>
    <x:row r="83">
      <x:c r="A83" s="68" t="n">
        <x:v>82</x:v>
      </x:c>
      <x:c r="B83" s="69" t="str">
        <x:v>tiff/sqlite_store.py</x:v>
      </x:c>
      <x:c r="C83" s="69" t="str">
        <x:v>sqlite_store.py</x:v>
      </x:c>
      <x:c r="D83" s="69" t="str">
        <x:v>ingestion</x:v>
      </x:c>
      <x:c r="E83" s="69" t="str">
        <x:v>operations</x:v>
      </x:c>
      <x:c r="F83" s="69" t="str">
        <x:v>ingestion</x:v>
      </x:c>
      <x:c r="G83" s="69" t="str">
        <x:v>src/trace_net/ingestion/</x:v>
      </x:c>
      <x:c r="H83" s="69" t="str">
        <x:v>src/trace_net/ingestion/sqlite_store.py</x:v>
      </x:c>
      <x:c r="I83" s="69" t="str">
        <x:v>active library module</x:v>
      </x:c>
      <x:c r="J83" s="69" t="str">
        <x:v>MOVE_WITH_IMPORT_UPDATES_AND_COMPATIBILITY_WRAPPER</x:v>
      </x:c>
      <x:c r="K83" s="70" t="b">
        <x:v>1</x:v>
      </x:c>
      <x:c r="L83" s="70" t="b">
        <x:v>0</x:v>
      </x:c>
      <x:c r="M83" s="70" t="b">
        <x:v>1</x:v>
      </x:c>
      <x:c r="N83" s="69" t="n">
        <x:v>7</x:v>
      </x:c>
      <x:c r="O83" s="69" t="n">
        <x:v>0</x:v>
      </x:c>
      <x:c r="P83" s="69" t="str">
        <x:v>scripts/batch_scan_tiffs_to_json.py; scripts/inventory_tiffs.py; scripts/scan_changed_tiffs.py; scripts/scan_tiff_to_json.py; scripts/summarize_tiff_db.py; tests/unit/test_tiff_sqlite_scan_report.py; tiff_upload_scan.py</x:v>
      </x:c>
      <x:c r="Q83" s="71" t="n">
        <x:v>0.95</x:v>
      </x:c>
      <x:c r="R83" s="69" t="str">
        <x:v>inventory stage: ingestion</x:v>
      </x:c>
      <x:c r="S83" s="69" t="str">
        <x:v>Primary implementation belongs to the ingestion stage based on filename, imports, and inventory evidence.</x:v>
      </x:c>
      <x:c r="T83" s="69" t="str">
        <x:v>Update imports and retain the old tiff module as a wrapper when callers exist.</x:v>
      </x:c>
      <x:c r="U83" s="69" t="str"/>
      <x:c r="V83" s="69" t="str"/>
      <x:c r="W83" s="69" t="str"/>
      <x:c r="X83" s="72" t="n">
        <x:v>24717</x:v>
      </x:c>
      <x:c r="Y83" s="70" t="b">
        <x:v>1</x:v>
      </x:c>
      <x:c r="Z83" s="69" t="str">
        <x:v>Compatibility required</x:v>
      </x:c>
      <x:c r="AA83" s="69" t="str">
        <x:v>https://github.com/jwild2027/heico-ai-internship-summer-2026/blob/srv/tiff/sqlite_store.py</x:v>
      </x:c>
      <x:c r="AB83" s="69" t="str">
        <x:v>shared &lt;= symbol:schema, string:schema; ingestion &lt;= path:tiff, symbol:inventory, symbol:tiff, import:inventory, string:ingest, string:inventory, string:pdf, string:tiff; ocr &lt;= string:ocr; visual &lt;= string:callout, string:vision; tables &lt;= symbol:column, symbol:table, string:column, string:table; serving &lt;= string:serve, string:server</x:v>
      </x:c>
    </x:row>
    <x:row r="84">
      <x:c r="A84" s="68" t="n">
        <x:v>83</x:v>
      </x:c>
      <x:c r="B84" s="69" t="str">
        <x:v>tiff/storage_adapters.py</x:v>
      </x:c>
      <x:c r="C84" s="69" t="str">
        <x:v>storage_adapters.py</x:v>
      </x:c>
      <x:c r="D84" s="69" t="str">
        <x:v>ingestion</x:v>
      </x:c>
      <x:c r="E84" s="69" t="str">
        <x:v>serving, graph</x:v>
      </x:c>
      <x:c r="F84" s="69" t="str">
        <x:v>core</x:v>
      </x:c>
      <x:c r="G84" s="69" t="str">
        <x:v>src/trace_net/core/</x:v>
      </x:c>
      <x:c r="H84" s="69" t="str">
        <x:v>src/trace_net/core/storage_adapters.py</x:v>
      </x:c>
      <x:c r="I84" s="69" t="str">
        <x:v>active library module</x:v>
      </x:c>
      <x:c r="J84" s="69" t="str">
        <x:v>MOVE_WITH_IMPORT_UPDATES_AND_COMPATIBILITY_WRAPPER</x:v>
      </x:c>
      <x:c r="K84" s="70" t="b">
        <x:v>1</x:v>
      </x:c>
      <x:c r="L84" s="70" t="b">
        <x:v>0</x:v>
      </x:c>
      <x:c r="M84" s="70" t="b">
        <x:v>1</x:v>
      </x:c>
      <x:c r="N84" s="69" t="n">
        <x:v>5</x:v>
      </x:c>
      <x:c r="O84" s="69" t="n">
        <x:v>1</x:v>
      </x:c>
      <x:c r="P84" s="69" t="str">
        <x:v>scripts/check_tiff_storage_adapters.py; tests/unit/test_tiff_api_adapter_services.py; tests/unit/test_tiff_storage_adapters.py; tiff/api_adapter_backend.py; tiff/api_adapter_services.py; tools/patch_archive/apply_storage_adapter_ata_source_fix.py</x:v>
      </x:c>
      <x:c r="Q84" s="71" t="n">
        <x:v>0.9</x:v>
      </x:c>
      <x:c r="R84" s="69" t="str">
        <x:v>shared contract/schema/adapter</x:v>
      </x:c>
      <x:c r="S84" s="69" t="str">
        <x:v>Primary implementation belongs to the core stage based on filename, imports, and inventory evidence.</x:v>
      </x:c>
      <x:c r="T84" s="69" t="str">
        <x:v>Update imports and retain the old tiff module as a wrapper when callers exist.</x:v>
      </x:c>
      <x:c r="U84" s="69" t="str"/>
      <x:c r="V84" s="69" t="str"/>
      <x:c r="W84" s="69" t="str"/>
      <x:c r="X84" s="72" t="n">
        <x:v>38413</x:v>
      </x:c>
      <x:c r="Y84" s="70" t="b">
        <x:v>1</x:v>
      </x:c>
      <x:c r="Z84" s="69" t="str">
        <x:v>Compatibility required</x:v>
      </x:c>
      <x:c r="AA84" s="69" t="str">
        <x:v>https://github.com/jwild2027/heico-ai-internship-summer-2026/blob/srv/tiff/storage_adapters.py</x:v>
      </x:c>
      <x:c r="AB84" s="69" t="str">
        <x:v>shared &lt;= string:contract, string:helper; ingestion &lt;= path:tiff, import:tiff, string:tiff; ocr &lt;= string:ocr; tables &lt;= string:table; graph &lt;= symbol:graph, import:graph, string:graph; embeddings &lt;= symbol:qdrant, string:qdrant</x:v>
      </x:c>
    </x:row>
    <x:row r="85">
      <x:c r="A85" s="68" t="n">
        <x:v>84</x:v>
      </x:c>
      <x:c r="B85" s="69" t="str">
        <x:v>tiff/streamlit_api_client.py</x:v>
      </x:c>
      <x:c r="C85" s="69" t="str">
        <x:v>streamlit_api_client.py</x:v>
      </x:c>
      <x:c r="D85" s="69" t="str">
        <x:v>serving</x:v>
      </x:c>
      <x:c r="E85" s="69" t="str">
        <x:v>ingestion, feedback</x:v>
      </x:c>
      <x:c r="F85" s="69" t="str">
        <x:v>serving</x:v>
      </x:c>
      <x:c r="G85" s="69" t="str">
        <x:v>src/trace_net/serving/</x:v>
      </x:c>
      <x:c r="H85" s="69" t="str">
        <x:v>src/trace_net/serving/streamlit_api_client.py</x:v>
      </x:c>
      <x:c r="I85" s="69" t="str">
        <x:v>serving/runtime module</x:v>
      </x:c>
      <x:c r="J85" s="69" t="str">
        <x:v>MOVE_WITH_PROTECTED_COMPATIBILITY_WRAPPER</x:v>
      </x:c>
      <x:c r="K85" s="70" t="b">
        <x:v>1</x:v>
      </x:c>
      <x:c r="L85" s="70" t="b">
        <x:v>1</x:v>
      </x:c>
      <x:c r="M85" s="70" t="b">
        <x:v>1</x:v>
      </x:c>
      <x:c r="N85" s="69" t="n">
        <x:v>1</x:v>
      </x:c>
      <x:c r="O85" s="69" t="n">
        <x:v>1</x:v>
      </x:c>
      <x:c r="P85" s="69" t="str">
        <x:v>apps/streamlit/tiff_api_ui.py; tools/patch_archive/apply_streamlit_trace_target_repo_fix.py</x:v>
      </x:c>
      <x:c r="Q85" s="71" t="n">
        <x:v>0.98</x:v>
      </x:c>
      <x:c r="R85" s="69" t="str">
        <x:v>serving/API naming</x:v>
      </x:c>
      <x:c r="S85" s="69" t="str">
        <x:v>API, endpoint, server, bridge, or console implementation used by runtime callers.</x:v>
      </x:c>
      <x:c r="T85" s="69" t="str">
        <x:v>Old entrypoint must remain callable; verify relevant ports and OpenWebUI behavior.</x:v>
      </x:c>
      <x:c r="U85" s="69" t="str">
        <x:v>8000</x:v>
      </x:c>
      <x:c r="V85" s="69" t="str"/>
      <x:c r="W85" s="69" t="str"/>
      <x:c r="X85" s="72" t="n">
        <x:v>6623</x:v>
      </x:c>
      <x:c r="Y85" s="70" t="b">
        <x:v>1</x:v>
      </x:c>
      <x:c r="Z85" s="69" t="str">
        <x:v>Protected runtime</x:v>
      </x:c>
      <x:c r="AA85" s="69" t="str">
        <x:v>https://github.com/jwild2027/heico-ai-internship-summer-2026/blob/srv/tiff/streamlit_api_client.py</x:v>
      </x:c>
      <x:c r="AB85" s="69" t="str">
        <x:v>ingestion &lt;= path:tiff, symbol:tiff, string:tiff; serving &lt;= path:api, symbol:api, import:sse, string:api, string:http; feedback &lt;= symbol:feedback, string:feedback, string:rating; declares runtime ports: [8000]; referenced_by_count=2; imported_by_count=1</x:v>
      </x:c>
    </x:row>
    <x:row r="86">
      <x:c r="A86" s="68" t="n">
        <x:v>85</x:v>
      </x:c>
      <x:c r="B86" s="69" t="str">
        <x:v>tiff/streamlit_trace_feedback.py</x:v>
      </x:c>
      <x:c r="C86" s="69" t="str">
        <x:v>streamlit_trace_feedback.py</x:v>
      </x:c>
      <x:c r="D86" s="69" t="str">
        <x:v>feedback</x:v>
      </x:c>
      <x:c r="E86" s="69" t="str">
        <x:v>ingestion</x:v>
      </x:c>
      <x:c r="F86" s="69" t="str">
        <x:v>feedback</x:v>
      </x:c>
      <x:c r="G86" s="69" t="str">
        <x:v>src/trace_net/feedback/</x:v>
      </x:c>
      <x:c r="H86" s="69" t="str">
        <x:v>src/trace_net/feedback/streamlit_trace_feedback.py</x:v>
      </x:c>
      <x:c r="I86" s="69" t="str">
        <x:v>active library module</x:v>
      </x:c>
      <x:c r="J86" s="69" t="str">
        <x:v>MOVE_WITH_IMPORT_UPDATES_AND_COMPATIBILITY_WRAPPER</x:v>
      </x:c>
      <x:c r="K86" s="70" t="b">
        <x:v>1</x:v>
      </x:c>
      <x:c r="L86" s="70" t="b">
        <x:v>0</x:v>
      </x:c>
      <x:c r="M86" s="70" t="b">
        <x:v>1</x:v>
      </x:c>
      <x:c r="N86" s="69" t="n">
        <x:v>2</x:v>
      </x:c>
      <x:c r="O86" s="69" t="n">
        <x:v>0</x:v>
      </x:c>
      <x:c r="P86" s="69" t="str">
        <x:v>apps/streamlit/tiff_api_ui.py; tests/unit/test_tiff_streamlit_trace_feedback.py</x:v>
      </x:c>
      <x:c r="Q86" s="71" t="n">
        <x:v>0.95</x:v>
      </x:c>
      <x:c r="R86" s="69" t="str">
        <x:v>feedback naming</x:v>
      </x:c>
      <x:c r="S86" s="69" t="str">
        <x:v>Primary implementation belongs to the feedback stage based on filename, imports, and inventory evidence.</x:v>
      </x:c>
      <x:c r="T86" s="69" t="str">
        <x:v>Update imports and retain the old tiff module as a wrapper when callers exist.</x:v>
      </x:c>
      <x:c r="U86" s="69" t="str"/>
      <x:c r="V86" s="69" t="str"/>
      <x:c r="W86" s="69" t="str"/>
      <x:c r="X86" s="72" t="n">
        <x:v>9071</x:v>
      </x:c>
      <x:c r="Y86" s="70" t="b">
        <x:v>1</x:v>
      </x:c>
      <x:c r="Z86" s="69" t="str">
        <x:v>Compatibility required</x:v>
      </x:c>
      <x:c r="AA86" s="69" t="str">
        <x:v>https://github.com/jwild2027/heico-ai-internship-summer-2026/blob/srv/tiff/streamlit_trace_feedback.py</x:v>
      </x:c>
      <x:c r="AB86" s="69" t="str">
        <x:v>shared &lt;= string:helper, string:utilities; ingestion &lt;= path:tiff, string:tiff; ocr &lt;= string:ocr; graph &lt;= string:relationship; context &lt;= string:page_context, string:source_trace; serving &lt;= string:api</x:v>
      </x:c>
    </x:row>
    <x:row r="87">
      <x:c r="A87" s="68" t="n">
        <x:v>86</x:v>
      </x:c>
      <x:c r="B87" s="69" t="str">
        <x:v>tiff/streamlit_ui_backend.py</x:v>
      </x:c>
      <x:c r="C87" s="69" t="str">
        <x:v>streamlit_ui_backend.py</x:v>
      </x:c>
      <x:c r="D87" s="69" t="str">
        <x:v>ingestion</x:v>
      </x:c>
      <x:c r="E87" s="69" t="str">
        <x:v>tables</x:v>
      </x:c>
      <x:c r="F87" s="69" t="str">
        <x:v>ingestion</x:v>
      </x:c>
      <x:c r="G87" s="69" t="str">
        <x:v>src/trace_net/ingestion/</x:v>
      </x:c>
      <x:c r="H87" s="69" t="str">
        <x:v>src/trace_net/ingestion/streamlit_ui_backend.py</x:v>
      </x:c>
      <x:c r="I87" s="69" t="str">
        <x:v>active library module</x:v>
      </x:c>
      <x:c r="J87" s="69" t="str">
        <x:v>MOVE_WITH_IMPORT_UPDATES_AND_COMPATIBILITY_WRAPPER</x:v>
      </x:c>
      <x:c r="K87" s="70" t="b">
        <x:v>1</x:v>
      </x:c>
      <x:c r="L87" s="70" t="b">
        <x:v>0</x:v>
      </x:c>
      <x:c r="M87" s="70" t="b">
        <x:v>1</x:v>
      </x:c>
      <x:c r="N87" s="69" t="n">
        <x:v>4</x:v>
      </x:c>
      <x:c r="O87" s="69" t="n">
        <x:v>0</x:v>
      </x:c>
      <x:c r="P87" s="69" t="str">
        <x:v>apps/streamlit/tiff_rag_ui.py; scripts/check_tiff_ui_ready.py; tests/unit/test_tiff_streamlit_ui_backend.py; tests/unit/test_tiff_streamlit_ui_polish.py</x:v>
      </x:c>
      <x:c r="Q87" s="71" t="n">
        <x:v>0.95</x:v>
      </x:c>
      <x:c r="R87" s="69" t="str">
        <x:v>inventory stage: ingestion</x:v>
      </x:c>
      <x:c r="S87" s="69" t="str">
        <x:v>Primary implementation belongs to the ingestion stage based on filename, imports, and inventory evidence.</x:v>
      </x:c>
      <x:c r="T87" s="69" t="str">
        <x:v>Update imports and retain the old tiff module as a wrapper when callers exist.</x:v>
      </x:c>
      <x:c r="U87" s="69" t="str"/>
      <x:c r="V87" s="69" t="str"/>
      <x:c r="W87" s="69" t="str"/>
      <x:c r="X87" s="72" t="n">
        <x:v>18903</x:v>
      </x:c>
      <x:c r="Y87" s="70" t="b">
        <x:v>1</x:v>
      </x:c>
      <x:c r="Z87" s="69" t="str">
        <x:v>Compatibility required</x:v>
      </x:c>
      <x:c r="AA87" s="69" t="str">
        <x:v>https://github.com/jwild2027/heico-ai-internship-summer-2026/blob/srv/tiff/streamlit_ui_backend.py</x:v>
      </x:c>
      <x:c r="AB87" s="69" t="str">
        <x:v>shared &lt;= string:helper; ingestion &lt;= path:tiff, import:tiff, string:tiff; ocr &lt;= string:ocr; tables &lt;= symbol:table, symbol:table_row, string:table; embeddings &lt;= string:embedding; validation &lt;= string:quality_gate</x:v>
      </x:c>
    </x:row>
    <x:row r="88">
      <x:c r="A88" s="68" t="n">
        <x:v>87</x:v>
      </x:c>
      <x:c r="B88" s="69" t="str">
        <x:v>tiff/title_block_ocr.py</x:v>
      </x:c>
      <x:c r="C88" s="69" t="str">
        <x:v>title_block_ocr.py</x:v>
      </x:c>
      <x:c r="D88" s="69" t="str">
        <x:v>ingestion</x:v>
      </x:c>
      <x:c r="E88" s="69" t="str">
        <x:v>ocr, serving</x:v>
      </x:c>
      <x:c r="F88" s="69" t="str">
        <x:v>ocr</x:v>
      </x:c>
      <x:c r="G88" s="69" t="str">
        <x:v>src/trace_net/ocr/</x:v>
      </x:c>
      <x:c r="H88" s="69" t="str">
        <x:v>src/trace_net/ocr/title_block_ocr.py</x:v>
      </x:c>
      <x:c r="I88" s="69" t="str">
        <x:v>active library module</x:v>
      </x:c>
      <x:c r="J88" s="69" t="str">
        <x:v>MOVE_WITH_IMPORT_UPDATES_AND_COMPATIBILITY_WRAPPER</x:v>
      </x:c>
      <x:c r="K88" s="70" t="b">
        <x:v>1</x:v>
      </x:c>
      <x:c r="L88" s="70" t="b">
        <x:v>0</x:v>
      </x:c>
      <x:c r="M88" s="70" t="b">
        <x:v>1</x:v>
      </x:c>
      <x:c r="N88" s="69" t="n">
        <x:v>4</x:v>
      </x:c>
      <x:c r="O88" s="69" t="n">
        <x:v>1</x:v>
      </x:c>
      <x:c r="P88" s="69" t="str">
        <x:v>tests/unit/test_tiff_tesseract_output_decode.py; tests/unit/test_tiff_title_block_ocr.py; tiff/json_report.py; tiff_upload_scan.py; docs/tiff_title_block_ocr.md</x:v>
      </x:c>
      <x:c r="Q88" s="71" t="n">
        <x:v>0.95</x:v>
      </x:c>
      <x:c r="R88" s="69" t="str">
        <x:v>OCR/fishnet naming</x:v>
      </x:c>
      <x:c r="S88" s="69" t="str">
        <x:v>Primary implementation belongs to the ocr stage based on filename, imports, and inventory evidence.</x:v>
      </x:c>
      <x:c r="T88" s="69" t="str">
        <x:v>Update imports and retain the old tiff module as a wrapper when callers exist.</x:v>
      </x:c>
      <x:c r="U88" s="69" t="str"/>
      <x:c r="V88" s="69" t="str"/>
      <x:c r="W88" s="69" t="str"/>
      <x:c r="X88" s="72" t="n">
        <x:v>11886</x:v>
      </x:c>
      <x:c r="Y88" s="70" t="b">
        <x:v>1</x:v>
      </x:c>
      <x:c r="Z88" s="69" t="str">
        <x:v>Compatibility required</x:v>
      </x:c>
      <x:c r="AA88" s="69" t="str">
        <x:v>https://github.com/jwild2027/heico-ai-internship-summer-2026/blob/srv/tiff/title_block_ocr.py</x:v>
      </x:c>
      <x:c r="AB88" s="69" t="str">
        <x:v>shared &lt;= string:common, string:helper; ingestion &lt;= path:tiff, symbol:preprocess, symbol:tiff, string:convert, string:preprocess, string:tiff; ocr &lt;= path:ocr, symbol:ocr, symbol:tesseract, string:ocr, string:psm, string:tesseract; tables &lt;= string:table; serving &lt;= symbol:sse, import:sse, string:api, string:sse; operations &lt;= string:install</x:v>
      </x:c>
    </x:row>
    <x:row r="89">
      <x:c r="A89" s="68" t="n">
        <x:v>88</x:v>
      </x:c>
      <x:c r="B89" s="69" t="str">
        <x:v>tiff/trace_net.py</x:v>
      </x:c>
      <x:c r="C89" s="69" t="str">
        <x:v>trace_net.py</x:v>
      </x:c>
      <x:c r="D89" s="69" t="str">
        <x:v>ingestion</x:v>
      </x:c>
      <x:c r="E89" s="69" t="str">
        <x:v>visual, serving, graph</x:v>
      </x:c>
      <x:c r="F89" s="69" t="str">
        <x:v>ingestion</x:v>
      </x:c>
      <x:c r="G89" s="69" t="str">
        <x:v>src/trace_net/ingestion/</x:v>
      </x:c>
      <x:c r="H89" s="69" t="str">
        <x:v>src/trace_net/ingestion/trace_net.py</x:v>
      </x:c>
      <x:c r="I89" s="69" t="str">
        <x:v>active library module</x:v>
      </x:c>
      <x:c r="J89" s="69" t="str">
        <x:v>MOVE_WITH_IMPORT_UPDATES_AND_COMPATIBILITY_WRAPPER</x:v>
      </x:c>
      <x:c r="K89" s="70" t="b">
        <x:v>1</x:v>
      </x:c>
      <x:c r="L89" s="70" t="b">
        <x:v>0</x:v>
      </x:c>
      <x:c r="M89" s="70" t="b">
        <x:v>1</x:v>
      </x:c>
      <x:c r="N89" s="69" t="n">
        <x:v>4</x:v>
      </x:c>
      <x:c r="O89" s="69" t="n">
        <x:v>0</x:v>
      </x:c>
      <x:c r="P89" s="69" t="str">
        <x:v>scripts/check_trace_net_plan_quality.py; scripts/plan_trace_net_routes.py; tests/unit/test_tiff_trace_net.py; tests/unit/test_tiff_trace_net_quality.py</x:v>
      </x:c>
      <x:c r="Q89" s="71" t="n">
        <x:v>0.95</x:v>
      </x:c>
      <x:c r="R89" s="69" t="str">
        <x:v>inventory stage: ingestion</x:v>
      </x:c>
      <x:c r="S89" s="69" t="str">
        <x:v>Primary implementation belongs to the ingestion stage based on filename, imports, and inventory evidence.</x:v>
      </x:c>
      <x:c r="T89" s="69" t="str">
        <x:v>Update imports and retain the old tiff module as a wrapper when callers exist.</x:v>
      </x:c>
      <x:c r="U89" s="69" t="str"/>
      <x:c r="V89" s="69" t="str"/>
      <x:c r="W89" s="69" t="str"/>
      <x:c r="X89" s="72" t="n">
        <x:v>41243</x:v>
      </x:c>
      <x:c r="Y89" s="70" t="b">
        <x:v>1</x:v>
      </x:c>
      <x:c r="Z89" s="69" t="str">
        <x:v>Compatibility required</x:v>
      </x:c>
      <x:c r="AA89" s="69" t="str">
        <x:v>https://github.com/jwild2027/heico-ai-internship-summer-2026/blob/srv/tiff/trace_net.py</x:v>
      </x:c>
      <x:c r="AB89" s="69" t="str">
        <x:v>shared &lt;= string:trust_tier; ingestion &lt;= path:tiff, string:tiff; ocr &lt;= string:fishnet, string:ocr; visual &lt;= symbol:visual, string:callout, string:diagram, string:vision, string:visual; tables &lt;= string:parts_list, string:table, string:table_row; graph &lt;= symbol:graph, string:graph</x:v>
      </x:c>
    </x:row>
    <x:row r="90">
      <x:c r="A90" s="68" t="n">
        <x:v>89</x:v>
      </x:c>
      <x:c r="B90" s="69" t="str">
        <x:v>tiff/trace_net_ai_trace_pack_v1.py</x:v>
      </x:c>
      <x:c r="C90" s="69" t="str">
        <x:v>trace_net_ai_trace_pack_v1.py</x:v>
      </x:c>
      <x:c r="D90" s="69" t="str">
        <x:v>graph</x:v>
      </x:c>
      <x:c r="E90" s="69" t="str">
        <x:v>validation, ingestion, serving, benchmarks</x:v>
      </x:c>
      <x:c r="F90" s="69" t="str">
        <x:v>graph</x:v>
      </x:c>
      <x:c r="G90" s="69" t="str">
        <x:v>src/trace_net/graph/</x:v>
      </x:c>
      <x:c r="H90" s="69" t="str">
        <x:v>src/trace_net/graph/trace_net_ai_trace_pack_v1.py</x:v>
      </x:c>
      <x:c r="I90" s="69" t="str">
        <x:v>active library module</x:v>
      </x:c>
      <x:c r="J90" s="69" t="str">
        <x:v>MOVE_WITH_IMPORT_UPDATES_AND_COMPATIBILITY_WRAPPER</x:v>
      </x:c>
      <x:c r="K90" s="70" t="b">
        <x:v>1</x:v>
      </x:c>
      <x:c r="L90" s="70" t="b">
        <x:v>0</x:v>
      </x:c>
      <x:c r="M90" s="70" t="b">
        <x:v>1</x:v>
      </x:c>
      <x:c r="N90" s="69" t="n">
        <x:v>4</x:v>
      </x:c>
      <x:c r="O90" s="69" t="n">
        <x:v>0</x:v>
      </x:c>
      <x:c r="P90" s="69" t="str">
        <x:v>scripts/build_trace_net_ai_trace_pack_v1.py; scripts/check_trace_net_ai_trace_pack_v1_quality.py; tests/unit/test_trace_net_ai_trace_pack_v1.py; tests/unit/test_trace_net_ai_trace_pack_v1_quality.py</x:v>
      </x:c>
      <x:c r="Q90" s="71" t="n">
        <x:v>0.95</x:v>
      </x:c>
      <x:c r="R90" s="69" t="str">
        <x:v>inventory stage: graph</x:v>
      </x:c>
      <x:c r="S90" s="69" t="str">
        <x:v>Primary implementation belongs to the graph stage based on filename, imports, and inventory evidence.</x:v>
      </x:c>
      <x:c r="T90" s="69" t="str">
        <x:v>Update imports and retain the old tiff module as a wrapper when callers exist.</x:v>
      </x:c>
      <x:c r="U90" s="69" t="str"/>
      <x:c r="V90" s="69" t="str"/>
      <x:c r="W90" s="69" t="str"/>
      <x:c r="X90" s="72" t="n">
        <x:v>39553</x:v>
      </x:c>
      <x:c r="Y90" s="70" t="b">
        <x:v>1</x:v>
      </x:c>
      <x:c r="Z90" s="69" t="str">
        <x:v>Compatibility required</x:v>
      </x:c>
      <x:c r="AA90" s="69" t="str">
        <x:v>https://github.com/jwild2027/heico-ai-internship-summer-2026/blob/srv/tiff/trace_net_ai_trace_pack_v1.py</x:v>
      </x:c>
      <x:c r="AB90" s="69" t="str">
        <x:v>shared &lt;= string:contract, string:dublin_core, string:schema; ingestion &lt;= path:tiff; graph &lt;= symbol:graph, string:community, string:graph, string:leiden; embeddings &lt;= string:qdrant; retrieval &lt;= string:opensearch, string:retriev; validation &lt;= symbol:critic, string:critic, string:evidence_sufficiency, string:self_rag</x:v>
      </x:c>
    </x:row>
    <x:row r="91">
      <x:c r="A91" s="68" t="n">
        <x:v>90</x:v>
      </x:c>
      <x:c r="B91" s="69" t="str">
        <x:v>tiff/trace_net_algorithm_policy.py</x:v>
      </x:c>
      <x:c r="C91" s="69" t="str">
        <x:v>trace_net_algorithm_policy.py</x:v>
      </x:c>
      <x:c r="D91" s="69" t="str">
        <x:v>ingestion</x:v>
      </x:c>
      <x:c r="E91" s="69" t="str">
        <x:v>benchmarks</x:v>
      </x:c>
      <x:c r="F91" s="69" t="str">
        <x:v>ingestion</x:v>
      </x:c>
      <x:c r="G91" s="69" t="str">
        <x:v>src/trace_net/ingestion/</x:v>
      </x:c>
      <x:c r="H91" s="69" t="str">
        <x:v>src/trace_net/ingestion/trace_net_algorithm_policy.py</x:v>
      </x:c>
      <x:c r="I91" s="69" t="str">
        <x:v>active library module</x:v>
      </x:c>
      <x:c r="J91" s="69" t="str">
        <x:v>MOVE_WITH_IMPORT_UPDATES_AND_COMPATIBILITY_WRAPPER</x:v>
      </x:c>
      <x:c r="K91" s="70" t="b">
        <x:v>1</x:v>
      </x:c>
      <x:c r="L91" s="70" t="b">
        <x:v>0</x:v>
      </x:c>
      <x:c r="M91" s="70" t="b">
        <x:v>1</x:v>
      </x:c>
      <x:c r="N91" s="69" t="n">
        <x:v>3</x:v>
      </x:c>
      <x:c r="O91" s="69" t="n">
        <x:v>0</x:v>
      </x:c>
      <x:c r="P91" s="69" t="str">
        <x:v>scripts/build_trace_net_algorithm_policy.py; scripts/write_trace_net_algorithm_policy.py; tests/unit/test_tiff_trace_net_algorithm_policy.py</x:v>
      </x:c>
      <x:c r="Q91" s="71" t="n">
        <x:v>0.95</x:v>
      </x:c>
      <x:c r="R91" s="69" t="str">
        <x:v>inventory stage: ingestion</x:v>
      </x:c>
      <x:c r="S91" s="69" t="str">
        <x:v>Primary implementation belongs to the ingestion stage based on filename, imports, and inventory evidence.</x:v>
      </x:c>
      <x:c r="T91" s="69" t="str">
        <x:v>Update imports and retain the old tiff module as a wrapper when callers exist.</x:v>
      </x:c>
      <x:c r="U91" s="69" t="str"/>
      <x:c r="V91" s="69" t="str"/>
      <x:c r="W91" s="69" t="str"/>
      <x:c r="X91" s="72" t="n">
        <x:v>20097</x:v>
      </x:c>
      <x:c r="Y91" s="70" t="b">
        <x:v>1</x:v>
      </x:c>
      <x:c r="Z91" s="69" t="str">
        <x:v>Compatibility required</x:v>
      </x:c>
      <x:c r="AA91" s="69" t="str">
        <x:v>https://github.com/jwild2027/heico-ai-internship-summer-2026/blob/srv/tiff/trace_net_algorithm_policy.py</x:v>
      </x:c>
      <x:c r="AB91" s="69" t="str">
        <x:v>ingestion &lt;= path:tiff, string:tiff; ocr &lt;= string:ocr; tables &lt;= string:ipl, string:table; graph &lt;= string:community, string:graph, string:leiden; retrieval &lt;= string:retriev; context &lt;= string:source_trace</x:v>
      </x:c>
    </x:row>
    <x:row r="92">
      <x:c r="A92" s="68" t="n">
        <x:v>91</x:v>
      </x:c>
      <x:c r="B92" s="69" t="str">
        <x:v>tiff/trace_net_algorithm_policy_quality.py</x:v>
      </x:c>
      <x:c r="C92" s="69" t="str">
        <x:v>trace_net_algorithm_policy_quality.py</x:v>
      </x:c>
      <x:c r="D92" s="69" t="str">
        <x:v>ingestion</x:v>
      </x:c>
      <x:c r="E92" s="69" t="str">
        <x:v>graph</x:v>
      </x:c>
      <x:c r="F92" s="69" t="str">
        <x:v>validation</x:v>
      </x:c>
      <x:c r="G92" s="69" t="str">
        <x:v>src/trace_net/validation/</x:v>
      </x:c>
      <x:c r="H92" s="69" t="str">
        <x:v>src/trace_net/validation/trace_net_algorithm_policy_quality.py</x:v>
      </x:c>
      <x:c r="I92" s="69" t="str">
        <x:v>quality validator module</x:v>
      </x:c>
      <x:c r="J92" s="69" t="str">
        <x:v>MOVE_WITH_IMPORT_UPDATES_AND_COMPATIBILITY_WRAPPER</x:v>
      </x:c>
      <x:c r="K92" s="70" t="b">
        <x:v>1</x:v>
      </x:c>
      <x:c r="L92" s="70" t="b">
        <x:v>0</x:v>
      </x:c>
      <x:c r="M92" s="70" t="b">
        <x:v>1</x:v>
      </x:c>
      <x:c r="N92" s="69" t="n">
        <x:v>2</x:v>
      </x:c>
      <x:c r="O92" s="69" t="n">
        <x:v>0</x:v>
      </x:c>
      <x:c r="P92" s="69" t="str">
        <x:v>scripts/check_trace_net_algorithm_policy_quality.py; tests/unit/test_tiff_trace_net_algorithm_policy_quality.py</x:v>
      </x:c>
      <x:c r="Q92" s="71" t="n">
        <x:v>0.97</x:v>
      </x:c>
      <x:c r="R92" s="69" t="str">
        <x:v>validation/quality naming</x:v>
      </x:c>
      <x:c r="S92" s="69" t="str">
        <x:v>Quality logic is reusable source code for the validation stage.</x:v>
      </x:c>
      <x:c r="T92" s="69" t="str">
        <x:v>Update test and script imports; retain the old tiff import as a thin wrapper until PASS.</x:v>
      </x:c>
      <x:c r="U92" s="69" t="str"/>
      <x:c r="V92" s="69" t="str"/>
      <x:c r="W92" s="69" t="str"/>
      <x:c r="X92" s="72" t="n">
        <x:v>8630</x:v>
      </x:c>
      <x:c r="Y92" s="70" t="b">
        <x:v>1</x:v>
      </x:c>
      <x:c r="Z92" s="69" t="str">
        <x:v>Compatibility required</x:v>
      </x:c>
      <x:c r="AA92" s="69" t="str">
        <x:v>https://github.com/jwild2027/heico-ai-internship-summer-2026/blob/srv/tiff/trace_net_algorithm_policy_quality.py</x:v>
      </x:c>
      <x:c r="AB92" s="69" t="str">
        <x:v>ingestion &lt;= path:tiff; tables &lt;= string:table; graph &lt;= string:community, string:graph, string:leiden; retrieval &lt;= string:retriev; context &lt;= string:source_trace; benchmarks &lt;= string:eval</x:v>
      </x:c>
    </x:row>
    <x:row r="93">
      <x:c r="A93" s="68" t="n">
        <x:v>92</x:v>
      </x:c>
      <x:c r="B93" s="69" t="str">
        <x:v>tiff/trace_net_anchor_aware_graph_leiden_expander_v1.py</x:v>
      </x:c>
      <x:c r="C93" s="69" t="str">
        <x:v>trace_net_anchor_aware_graph_leiden_expander_v1.py</x:v>
      </x:c>
      <x:c r="D93" s="69" t="str">
        <x:v>graph</x:v>
      </x:c>
      <x:c r="E93" s="69" t="str">
        <x:v>ingestion</x:v>
      </x:c>
      <x:c r="F93" s="69" t="str">
        <x:v>graph</x:v>
      </x:c>
      <x:c r="G93" s="69" t="str">
        <x:v>src/trace_net/graph/</x:v>
      </x:c>
      <x:c r="H93" s="69" t="str">
        <x:v>src/trace_net/graph/trace_net_anchor_aware_graph_leiden_expander_v1.py</x:v>
      </x:c>
      <x:c r="I93" s="69" t="str">
        <x:v>active library module</x:v>
      </x:c>
      <x:c r="J93" s="69" t="str">
        <x:v>MOVE_WITH_IMPORT_UPDATES_AND_COMPATIBILITY_WRAPPER</x:v>
      </x:c>
      <x:c r="K93" s="70" t="b">
        <x:v>1</x:v>
      </x:c>
      <x:c r="L93" s="70" t="b">
        <x:v>0</x:v>
      </x:c>
      <x:c r="M93" s="70" t="b">
        <x:v>1</x:v>
      </x:c>
      <x:c r="N93" s="69" t="n">
        <x:v>5</x:v>
      </x:c>
      <x:c r="O93" s="69" t="n">
        <x:v>0</x:v>
      </x:c>
      <x:c r="P93" s="69" t="str">
        <x:v>scripts/build_trace_net_anchor_aware_graph_leiden_expander_v1.py; scripts/check_trace_net_anchor_aware_graph_leiden_expander_v1_quality.py; tests/unit/test_trace_net_anchor_aware_graph_leiden_expander_v1.py; tests/unit/test_trace_net_anchor_aware_graph_leiden_expander_v1_quality.py; tiff/trace_net_raw_to_answer_context_engineered_native_v1.py</x:v>
      </x:c>
      <x:c r="Q93" s="71" t="n">
        <x:v>0.95</x:v>
      </x:c>
      <x:c r="R93" s="69" t="str">
        <x:v>graph/Leiden/Postgres naming</x:v>
      </x:c>
      <x:c r="S93" s="69" t="str">
        <x:v>Primary implementation belongs to the graph stage based on filename, imports, and inventory evidence.</x:v>
      </x:c>
      <x:c r="T93" s="69" t="str">
        <x:v>Update imports and retain the old tiff module as a wrapper when callers exist.</x:v>
      </x:c>
      <x:c r="U93" s="69" t="str"/>
      <x:c r="V93" s="69" t="str">
        <x:v>TRACE_NET_ANCHOR_AWARE_GRAPH_LEIDEN_EXPANDER_BUILT</x:v>
      </x:c>
      <x:c r="W93" s="69" t="str"/>
      <x:c r="X93" s="72" t="n">
        <x:v>34543</x:v>
      </x:c>
      <x:c r="Y93" s="70" t="b">
        <x:v>1</x:v>
      </x:c>
      <x:c r="Z93" s="69" t="str">
        <x:v>Compatibility required</x:v>
      </x:c>
      <x:c r="AA93" s="69" t="str">
        <x:v>https://github.com/jwild2027/heico-ai-internship-summer-2026/blob/srv/tiff/trace_net_anchor_aware_graph_leiden_expander_v1.py</x:v>
      </x:c>
      <x:c r="AB93" s="69" t="str">
        <x:v>shared &lt;= string:contract, string:shared, string:source_id; ingestion &lt;= path:tiff, symbol:extract_page, string:tiff; graph &lt;= path:graph, path:leiden, symbol:community, symbol:graph, symbol:leiden, string:community, string:graph, string:leiden; embeddings &lt;= string:qdrant; retrieval &lt;= string:opensearch, string:retriev; context &lt;= string:source_trace</x:v>
      </x:c>
    </x:row>
    <x:row r="94">
      <x:c r="A94" s="68" t="n">
        <x:v>93</x:v>
      </x:c>
      <x:c r="B94" s="69" t="str">
        <x:v>tiff/trace_net_answer_claim_critic_v1.py</x:v>
      </x:c>
      <x:c r="C94" s="69" t="str">
        <x:v>trace_net_answer_claim_critic_v1.py</x:v>
      </x:c>
      <x:c r="D94" s="69" t="str">
        <x:v>validation</x:v>
      </x:c>
      <x:c r="E94" s="69" t="str">
        <x:v>benchmarks</x:v>
      </x:c>
      <x:c r="F94" s="69" t="str">
        <x:v>validation</x:v>
      </x:c>
      <x:c r="G94" s="69" t="str">
        <x:v>src/trace_net/validation/</x:v>
      </x:c>
      <x:c r="H94" s="69" t="str">
        <x:v>src/trace_net/validation/trace_net_answer_claim_critic_v1.py</x:v>
      </x:c>
      <x:c r="I94" s="69" t="str">
        <x:v>runtime validation/gating module</x:v>
      </x:c>
      <x:c r="J94" s="69" t="str">
        <x:v>MOVE_WITH_IMPORT_UPDATES_AND_COMPATIBILITY_WRAPPER</x:v>
      </x:c>
      <x:c r="K94" s="70" t="b">
        <x:v>1</x:v>
      </x:c>
      <x:c r="L94" s="70" t="b">
        <x:v>0</x:v>
      </x:c>
      <x:c r="M94" s="70" t="b">
        <x:v>1</x:v>
      </x:c>
      <x:c r="N94" s="69" t="n">
        <x:v>4</x:v>
      </x:c>
      <x:c r="O94" s="69" t="n">
        <x:v>0</x:v>
      </x:c>
      <x:c r="P94" s="69" t="str">
        <x:v>scripts/build_trace_net_answer_claim_critic_v1.py; scripts/check_trace_net_answer_claim_critic_v1_quality.py; tests/unit/test_trace_net_answer_claim_critic_v1.py; tests/unit/test_trace_net_answer_claim_critic_v1_quality.py</x:v>
      </x:c>
      <x:c r="Q94" s="71" t="n">
        <x:v>0.96</x:v>
      </x:c>
      <x:c r="R94" s="69" t="str">
        <x:v>validation/quality naming</x:v>
      </x:c>
      <x:c r="S94" s="69" t="str">
        <x:v>Implements a runtime gate, critic, hardener, or evidence sufficiency check.</x:v>
      </x:c>
      <x:c r="T94" s="69" t="str">
        <x:v>Preserve gating semantics and old import path until focused tests pass.</x:v>
      </x:c>
      <x:c r="U94" s="69" t="str"/>
      <x:c r="V94" s="69" t="str"/>
      <x:c r="W94" s="69" t="str"/>
      <x:c r="X94" s="72" t="n">
        <x:v>44877</x:v>
      </x:c>
      <x:c r="Y94" s="70" t="b">
        <x:v>1</x:v>
      </x:c>
      <x:c r="Z94" s="69" t="str">
        <x:v>Compatibility required</x:v>
      </x:c>
      <x:c r="AA94" s="69" t="str">
        <x:v>https://github.com/jwild2027/heico-ai-internship-summer-2026/blob/srv/tiff/trace_net_answer_claim_critic_v1.py</x:v>
      </x:c>
      <x:c r="AB94" s="69" t="str">
        <x:v>shared &lt;= string:contract, string:schema; ingestion &lt;= path:tiff; ocr &lt;= string:ocr; tables &lt;= symbol:table; graph &lt;= string:community, string:graph, string:leiden; embeddings &lt;= string:qdrant</x:v>
      </x:c>
    </x:row>
    <x:row r="95">
      <x:c r="A95" s="68" t="n">
        <x:v>94</x:v>
      </x:c>
      <x:c r="B95" s="69" t="str">
        <x:v>tiff/trace_net_answer_composer.py</x:v>
      </x:c>
      <x:c r="C95" s="69" t="str">
        <x:v>trace_net_answer_composer.py</x:v>
      </x:c>
      <x:c r="D95" s="69" t="str">
        <x:v>ingestion</x:v>
      </x:c>
      <x:c r="E95" s="69" t="str">
        <x:v>tables, graph</x:v>
      </x:c>
      <x:c r="F95" s="69" t="str">
        <x:v>writing</x:v>
      </x:c>
      <x:c r="G95" s="69" t="str">
        <x:v>src/trace_net/writing/</x:v>
      </x:c>
      <x:c r="H95" s="69" t="str">
        <x:v>src/trace_net/writing/trace_net_answer_composer.py</x:v>
      </x:c>
      <x:c r="I95" s="69" t="str">
        <x:v>active library module</x:v>
      </x:c>
      <x:c r="J95" s="69" t="str">
        <x:v>MOVE_WITH_IMPORT_UPDATES_AND_COMPATIBILITY_WRAPPER</x:v>
      </x:c>
      <x:c r="K95" s="70" t="b">
        <x:v>1</x:v>
      </x:c>
      <x:c r="L95" s="70" t="b">
        <x:v>0</x:v>
      </x:c>
      <x:c r="M95" s="70" t="b">
        <x:v>1</x:v>
      </x:c>
      <x:c r="N95" s="69" t="n">
        <x:v>4</x:v>
      </x:c>
      <x:c r="O95" s="69" t="n">
        <x:v>0</x:v>
      </x:c>
      <x:c r="P95" s="69" t="str">
        <x:v>scripts/compose_trace_net_answer.py; tests/unit/test_tiff_trace_net_answer_composer.py; tests/unit/test_tiff_trace_net_answer_quality.py; tiff/trace_net_answer_quality.py</x:v>
      </x:c>
      <x:c r="Q95" s="71" t="n">
        <x:v>0.95</x:v>
      </x:c>
      <x:c r="R95" s="69" t="str">
        <x:v>answer/writer naming</x:v>
      </x:c>
      <x:c r="S95" s="69" t="str">
        <x:v>Primary implementation belongs to the writing stage based on filename, imports, and inventory evidence.</x:v>
      </x:c>
      <x:c r="T95" s="69" t="str">
        <x:v>Update imports and retain the old tiff module as a wrapper when callers exist.</x:v>
      </x:c>
      <x:c r="U95" s="69" t="str"/>
      <x:c r="V95" s="69" t="str"/>
      <x:c r="W95" s="69" t="str"/>
      <x:c r="X95" s="72" t="n">
        <x:v>18557</x:v>
      </x:c>
      <x:c r="Y95" s="70" t="b">
        <x:v>1</x:v>
      </x:c>
      <x:c r="Z95" s="69" t="str">
        <x:v>Compatibility required</x:v>
      </x:c>
      <x:c r="AA95" s="69" t="str">
        <x:v>https://github.com/jwild2027/heico-ai-internship-summer-2026/blob/srv/tiff/trace_net_answer_composer.py</x:v>
      </x:c>
      <x:c r="AB95" s="69" t="str">
        <x:v>ingestion &lt;= path:tiff, string:tiff; ocr &lt;= string:ocr; tables &lt;= symbol:table, string:table; graph &lt;= symbol:graph, string:graph; llm_writing &lt;= string:answer_draft; serving &lt;= import:sse</x:v>
      </x:c>
    </x:row>
    <x:row r="96">
      <x:c r="A96" s="68" t="n">
        <x:v>95</x:v>
      </x:c>
      <x:c r="B96" s="69" t="str">
        <x:v>tiff/trace_net_answer_context_anchor_injector_v1.py</x:v>
      </x:c>
      <x:c r="C96" s="69" t="str">
        <x:v>trace_net_answer_context_anchor_injector_v1.py</x:v>
      </x:c>
      <x:c r="D96" s="69" t="str">
        <x:v>ingestion</x:v>
      </x:c>
      <x:c r="E96" s="69" t="str">
        <x:v>benchmarks</x:v>
      </x:c>
      <x:c r="F96" s="69" t="str">
        <x:v>ingestion</x:v>
      </x:c>
      <x:c r="G96" s="69" t="str">
        <x:v>src/trace_net/ingestion/</x:v>
      </x:c>
      <x:c r="H96" s="69" t="str">
        <x:v>src/trace_net/ingestion/trace_net_answer_context_anchor_injector_v1.py</x:v>
      </x:c>
      <x:c r="I96" s="69" t="str">
        <x:v>active library module</x:v>
      </x:c>
      <x:c r="J96" s="69" t="str">
        <x:v>MOVE_WITH_IMPORT_UPDATES_AND_COMPATIBILITY_WRAPPER</x:v>
      </x:c>
      <x:c r="K96" s="70" t="b">
        <x:v>1</x:v>
      </x:c>
      <x:c r="L96" s="70" t="b">
        <x:v>0</x:v>
      </x:c>
      <x:c r="M96" s="70" t="b">
        <x:v>1</x:v>
      </x:c>
      <x:c r="N96" s="69" t="n">
        <x:v>5</x:v>
      </x:c>
      <x:c r="O96" s="69" t="n">
        <x:v>0</x:v>
      </x:c>
      <x:c r="P96" s="69" t="str">
        <x:v>scripts/build_trace_net_answer_context_anchor_injector_v1.py; scripts/check_trace_net_answer_context_anchor_injector_v1_quality.py; tests/unit/test_trace_net_answer_context_anchor_injector_v1.py; tests/unit/test_trace_net_answer_context_anchor_injector_v1_quality.py; tiff/trace_net_raw_to_answer_context_engineered_native_v1.py</x:v>
      </x:c>
      <x:c r="Q96" s="71" t="n">
        <x:v>0.95</x:v>
      </x:c>
      <x:c r="R96" s="69" t="str">
        <x:v>inventory stage: ingestion</x:v>
      </x:c>
      <x:c r="S96" s="69" t="str">
        <x:v>Primary implementation belongs to the ingestion stage based on filename, imports, and inventory evidence.</x:v>
      </x:c>
      <x:c r="T96" s="69" t="str">
        <x:v>Update imports and retain the old tiff module as a wrapper when callers exist.</x:v>
      </x:c>
      <x:c r="U96" s="69" t="str"/>
      <x:c r="V96" s="69" t="str">
        <x:v>TRACE_NET_ANSWER_CONTEXT_ANCHOR_INJECTOR_BUILT</x:v>
      </x:c>
      <x:c r="W96" s="69" t="str"/>
      <x:c r="X96" s="72" t="n">
        <x:v>30120</x:v>
      </x:c>
      <x:c r="Y96" s="70" t="b">
        <x:v>1</x:v>
      </x:c>
      <x:c r="Z96" s="69" t="str">
        <x:v>Compatibility required</x:v>
      </x:c>
      <x:c r="AA96" s="69" t="str">
        <x:v>https://github.com/jwild2027/heico-ai-internship-summer-2026/blob/srv/tiff/trace_net_answer_context_anchor_injector_v1.py</x:v>
      </x:c>
      <x:c r="AB96" s="69" t="str">
        <x:v>ingestion &lt;= path:tiff, string:tiff; graph &lt;= string:graph, string:leiden; embeddings &lt;= string:qdrant; retrieval &lt;= string:opensearch, string:retriev; llm_writing &lt;= string:gemma; benchmarks &lt;= string:eval</x:v>
      </x:c>
    </x:row>
    <x:row r="97">
      <x:c r="A97" s="68" t="n">
        <x:v>96</x:v>
      </x:c>
      <x:c r="B97" s="69" t="str">
        <x:v>tiff/trace_net_answer_context_engineering_pack_v1.py</x:v>
      </x:c>
      <x:c r="C97" s="69" t="str">
        <x:v>trace_net_answer_context_engineering_pack_v1.py</x:v>
      </x:c>
      <x:c r="D97" s="69" t="str">
        <x:v>benchmarks</x:v>
      </x:c>
      <x:c r="E97" s="69" t="str">
        <x:v>ingestion, retrieval</x:v>
      </x:c>
      <x:c r="F97" s="69" t="str">
        <x:v>validation</x:v>
      </x:c>
      <x:c r="G97" s="69" t="str">
        <x:v>src/trace_net/validation/</x:v>
      </x:c>
      <x:c r="H97" s="69" t="str">
        <x:v>src/trace_net/validation/trace_net_answer_context_engineering_pack_v1.py</x:v>
      </x:c>
      <x:c r="I97" s="69" t="str">
        <x:v>active library module</x:v>
      </x:c>
      <x:c r="J97" s="69" t="str">
        <x:v>MOVE_WITH_IMPORT_UPDATES_AND_COMPATIBILITY_WRAPPER</x:v>
      </x:c>
      <x:c r="K97" s="70" t="b">
        <x:v>1</x:v>
      </x:c>
      <x:c r="L97" s="70" t="b">
        <x:v>0</x:v>
      </x:c>
      <x:c r="M97" s="70" t="b">
        <x:v>1</x:v>
      </x:c>
      <x:c r="N97" s="69" t="n">
        <x:v>4</x:v>
      </x:c>
      <x:c r="O97" s="69" t="n">
        <x:v>0</x:v>
      </x:c>
      <x:c r="P97" s="69" t="str">
        <x:v>scripts/build_trace_net_answer_context_engineering_pack_v1.py; scripts/check_trace_net_answer_context_engineering_pack_v1_quality.py; tests/unit/test_trace_net_answer_context_engineering_pack_v1.py; tests/unit/test_trace_net_answer_context_engineering_pack_v1_quality.py</x:v>
      </x:c>
      <x:c r="Q97" s="71" t="n">
        <x:v>0.95</x:v>
      </x:c>
      <x:c r="R97" s="69" t="str">
        <x:v>inventory stage: benchmarks</x:v>
      </x:c>
      <x:c r="S97" s="69" t="str">
        <x:v>Primary implementation belongs to the validation stage based on filename, imports, and inventory evidence.</x:v>
      </x:c>
      <x:c r="T97" s="69" t="str">
        <x:v>Update imports and retain the old tiff module as a wrapper when callers exist.</x:v>
      </x:c>
      <x:c r="U97" s="69" t="str"/>
      <x:c r="V97" s="69" t="str">
        <x:v>TRACE_NET_ANSWER_CONTEXT_ENGINEERING_PACK_BUILT</x:v>
      </x:c>
      <x:c r="W97" s="69" t="str"/>
      <x:c r="X97" s="72" t="n">
        <x:v>28954</x:v>
      </x:c>
      <x:c r="Y97" s="70" t="b">
        <x:v>1</x:v>
      </x:c>
      <x:c r="Z97" s="69" t="str">
        <x:v>Compatibility required</x:v>
      </x:c>
      <x:c r="AA97" s="69" t="str">
        <x:v>https://github.com/jwild2027/heico-ai-internship-summer-2026/blob/srv/tiff/trace_net_answer_context_engineering_pack_v1.py</x:v>
      </x:c>
      <x:c r="AB97" s="69" t="str">
        <x:v>shared &lt;= string:contract; ingestion &lt;= path:tiff, string:tiff; ocr &lt;= string:ocr; embeddings &lt;= string:qdrant; retrieval &lt;= symbol:retriev, string:opensearch, string:retriev; context &lt;= string:context_pack</x:v>
      </x:c>
    </x:row>
    <x:row r="98">
      <x:c r="A98" s="68" t="n">
        <x:v>97</x:v>
      </x:c>
      <x:c r="B98" s="69" t="str">
        <x:v>tiff/trace_net_answer_context_evidence_enricher_v1.py</x:v>
      </x:c>
      <x:c r="C98" s="69" t="str">
        <x:v>trace_net_answer_context_evidence_enricher_v1.py</x:v>
      </x:c>
      <x:c r="D98" s="69" t="str">
        <x:v>ingestion</x:v>
      </x:c>
      <x:c r="E98" s="69" t="str">
        <x:v>context, tables</x:v>
      </x:c>
      <x:c r="F98" s="69" t="str">
        <x:v>ingestion</x:v>
      </x:c>
      <x:c r="G98" s="69" t="str">
        <x:v>src/trace_net/ingestion/</x:v>
      </x:c>
      <x:c r="H98" s="69" t="str">
        <x:v>src/trace_net/ingestion/trace_net_answer_context_evidence_enricher_v1.py</x:v>
      </x:c>
      <x:c r="I98" s="69" t="str">
        <x:v>artifact builder implementation</x:v>
      </x:c>
      <x:c r="J98" s="69" t="str">
        <x:v>MOVE_WITH_IMPORT_UPDATES_AND_COMPATIBILITY_WRAPPER</x:v>
      </x:c>
      <x:c r="K98" s="70" t="b">
        <x:v>1</x:v>
      </x:c>
      <x:c r="L98" s="70" t="b">
        <x:v>0</x:v>
      </x:c>
      <x:c r="M98" s="70" t="b">
        <x:v>1</x:v>
      </x:c>
      <x:c r="N98" s="69" t="n">
        <x:v>4</x:v>
      </x:c>
      <x:c r="O98" s="69" t="n">
        <x:v>0</x:v>
      </x:c>
      <x:c r="P98" s="69" t="str">
        <x:v>scripts/build_trace_net_answer_context_evidence_enricher_v1.py; scripts/check_trace_net_answer_context_evidence_enricher_v1_quality.py; tests/unit/test_trace_net_answer_context_evidence_enricher_v1.py; tests/unit/test_trace_net_answer_context_evidence_enricher_v1_quality.py</x:v>
      </x:c>
      <x:c r="Q98" s="71" t="n">
        <x:v>0.96</x:v>
      </x:c>
      <x:c r="R98" s="69" t="str">
        <x:v>inventory stage: ingestion</x:v>
      </x:c>
      <x:c r="S98" s="69" t="str">
        <x:v>Build implementation is imported by active wrappers/tests and belongs to the ingestion package.</x:v>
      </x:c>
      <x:c r="T98" s="69" t="str">
        <x:v>Update wrapper imports and compare generated artifact counts/checksums.</x:v>
      </x:c>
      <x:c r="U98" s="69" t="str"/>
      <x:c r="V98" s="69" t="str">
        <x:v>TRACE_NET_ANSWER_CONTEXT_EVIDENCE_ENRICHER_BUILT</x:v>
      </x:c>
      <x:c r="W98" s="69" t="str"/>
      <x:c r="X98" s="72" t="n">
        <x:v>32453</x:v>
      </x:c>
      <x:c r="Y98" s="70" t="b">
        <x:v>1</x:v>
      </x:c>
      <x:c r="Z98" s="69" t="str">
        <x:v>Compatibility required</x:v>
      </x:c>
      <x:c r="AA98" s="69" t="str">
        <x:v>https://github.com/jwild2027/heico-ai-internship-summer-2026/blob/srv/tiff/trace_net_answer_context_evidence_enricher_v1.py</x:v>
      </x:c>
      <x:c r="AB98" s="69" t="str">
        <x:v>ingestion &lt;= path:tiff, string:scan_pack, string:tiff; ocr &lt;= string:ocr, string:psm, string:tesseract; visual &lt;= string:image_visual, string:visual; tables &lt;= symbol:table, string:table; embeddings &lt;= string:qdrant; retrieval &lt;= string:opensearch</x:v>
      </x:c>
    </x:row>
    <x:row r="99">
      <x:c r="A99" s="68" t="n">
        <x:v>98</x:v>
      </x:c>
      <x:c r="B99" s="69" t="str">
        <x:v>tiff/trace_net_answer_context_exact_row_proof_v1.py</x:v>
      </x:c>
      <x:c r="C99" s="69" t="str">
        <x:v>trace_net_answer_context_exact_row_proof_v1.py</x:v>
      </x:c>
      <x:c r="D99" s="69" t="str">
        <x:v>ingestion</x:v>
      </x:c>
      <x:c r="E99" s="69" t="str">
        <x:v>benchmarks</x:v>
      </x:c>
      <x:c r="F99" s="69" t="str">
        <x:v>ingestion</x:v>
      </x:c>
      <x:c r="G99" s="69" t="str">
        <x:v>src/trace_net/ingestion/</x:v>
      </x:c>
      <x:c r="H99" s="69" t="str">
        <x:v>src/trace_net/ingestion/trace_net_answer_context_exact_row_proof_v1.py</x:v>
      </x:c>
      <x:c r="I99" s="69" t="str">
        <x:v>active library module</x:v>
      </x:c>
      <x:c r="J99" s="69" t="str">
        <x:v>MOVE_WITH_IMPORT_UPDATES_AND_COMPATIBILITY_WRAPPER</x:v>
      </x:c>
      <x:c r="K99" s="70" t="b">
        <x:v>1</x:v>
      </x:c>
      <x:c r="L99" s="70" t="b">
        <x:v>0</x:v>
      </x:c>
      <x:c r="M99" s="70" t="b">
        <x:v>1</x:v>
      </x:c>
      <x:c r="N99" s="69" t="n">
        <x:v>4</x:v>
      </x:c>
      <x:c r="O99" s="69" t="n">
        <x:v>0</x:v>
      </x:c>
      <x:c r="P99" s="69" t="str">
        <x:v>scripts/build_trace_net_answer_context_exact_row_proof_v1.py; scripts/check_trace_net_answer_context_exact_row_proof_v1_quality.py; tests/unit/test_trace_net_answer_context_exact_row_proof_v1.py; tests/unit/test_trace_net_answer_context_exact_row_proof_v1_quality.py</x:v>
      </x:c>
      <x:c r="Q99" s="71" t="n">
        <x:v>0.95</x:v>
      </x:c>
      <x:c r="R99" s="69" t="str">
        <x:v>inventory stage: ingestion</x:v>
      </x:c>
      <x:c r="S99" s="69" t="str">
        <x:v>Primary implementation belongs to the ingestion stage based on filename, imports, and inventory evidence.</x:v>
      </x:c>
      <x:c r="T99" s="69" t="str">
        <x:v>Update imports and retain the old tiff module as a wrapper when callers exist.</x:v>
      </x:c>
      <x:c r="U99" s="69" t="str"/>
      <x:c r="V99" s="69" t="str">
        <x:v>TRACE_NET_ANSWER_CONTEXT_EXACT_ROW_PROOF_BUILT</x:v>
      </x:c>
      <x:c r="W99" s="69" t="str"/>
      <x:c r="X99" s="72" t="n">
        <x:v>35319</x:v>
      </x:c>
      <x:c r="Y99" s="70" t="b">
        <x:v>1</x:v>
      </x:c>
      <x:c r="Z99" s="69" t="str">
        <x:v>Compatibility required</x:v>
      </x:c>
      <x:c r="AA99" s="69" t="str">
        <x:v>https://github.com/jwild2027/heico-ai-internship-summer-2026/blob/srv/tiff/trace_net_answer_context_exact_row_proof_v1.py</x:v>
      </x:c>
      <x:c r="AB99" s="69" t="str">
        <x:v>shared &lt;= string:schema; ingestion &lt;= path:tiff, string:scan_pack, string:tiff; ocr &lt;= string:ocr; tables &lt;= string:ipl, string:table, string:table_row; graph &lt;= string:community, string:graph, string:leiden; embeddings &lt;= string:qdrant</x:v>
      </x:c>
    </x:row>
    <x:row r="100">
      <x:c r="A100" s="68" t="n">
        <x:v>99</x:v>
      </x:c>
      <x:c r="B100" s="69" t="str">
        <x:v>tiff/trace_net_answer_context_graph_leiden_expander_v1.py</x:v>
      </x:c>
      <x:c r="C100" s="69" t="str">
        <x:v>trace_net_answer_context_graph_leiden_expander_v1.py</x:v>
      </x:c>
      <x:c r="D100" s="69" t="str">
        <x:v>graph</x:v>
      </x:c>
      <x:c r="E100" s="69" t="str"/>
      <x:c r="F100" s="69" t="str">
        <x:v>graph</x:v>
      </x:c>
      <x:c r="G100" s="69" t="str">
        <x:v>src/trace_net/graph/</x:v>
      </x:c>
      <x:c r="H100" s="69" t="str">
        <x:v>src/trace_net/graph/trace_net_answer_context_graph_leiden_expander_v1.py</x:v>
      </x:c>
      <x:c r="I100" s="69" t="str">
        <x:v>active library module</x:v>
      </x:c>
      <x:c r="J100" s="69" t="str">
        <x:v>MOVE_WITH_IMPORT_UPDATES_AND_COMPATIBILITY_WRAPPER</x:v>
      </x:c>
      <x:c r="K100" s="70" t="b">
        <x:v>1</x:v>
      </x:c>
      <x:c r="L100" s="70" t="b">
        <x:v>0</x:v>
      </x:c>
      <x:c r="M100" s="70" t="b">
        <x:v>1</x:v>
      </x:c>
      <x:c r="N100" s="69" t="n">
        <x:v>4</x:v>
      </x:c>
      <x:c r="O100" s="69" t="n">
        <x:v>0</x:v>
      </x:c>
      <x:c r="P100" s="69" t="str">
        <x:v>scripts/build_trace_net_answer_context_graph_leiden_expander_v1.py; scripts/check_trace_net_answer_context_graph_leiden_expander_v1_quality.py; tests/unit/test_trace_net_answer_context_graph_leiden_expander_v1.py; tests/unit/test_trace_net_answer_context_graph_leiden_expander_v1_quality.py</x:v>
      </x:c>
      <x:c r="Q100" s="71" t="n">
        <x:v>0.95</x:v>
      </x:c>
      <x:c r="R100" s="69" t="str">
        <x:v>graph/Leiden/Postgres naming</x:v>
      </x:c>
      <x:c r="S100" s="69" t="str">
        <x:v>Primary implementation belongs to the graph stage based on filename, imports, and inventory evidence.</x:v>
      </x:c>
      <x:c r="T100" s="69" t="str">
        <x:v>Update imports and retain the old tiff module as a wrapper when callers exist.</x:v>
      </x:c>
      <x:c r="U100" s="69" t="str"/>
      <x:c r="V100" s="69" t="str">
        <x:v>TRACE_NET_ANSWER_CONTEXT_GRAPH_LEIDEN_EXPANDER_BUILT</x:v>
      </x:c>
      <x:c r="W100" s="69" t="str"/>
      <x:c r="X100" s="72" t="n">
        <x:v>39832</x:v>
      </x:c>
      <x:c r="Y100" s="70" t="b">
        <x:v>1</x:v>
      </x:c>
      <x:c r="Z100" s="69" t="str">
        <x:v>Compatibility required</x:v>
      </x:c>
      <x:c r="AA100" s="69" t="str">
        <x:v>https://github.com/jwild2027/heico-ai-internship-summer-2026/blob/srv/tiff/trace_net_answer_context_graph_leiden_expander_v1.py</x:v>
      </x:c>
      <x:c r="AB100" s="69" t="str">
        <x:v>shared &lt;= string:common, string:helper; ingestion &lt;= path:tiff, string:tiff; tables &lt;= string:table, string:table_cell; graph &lt;= path:graph, path:leiden, symbol:community, symbol:graph, symbol:leiden, string:community, string:graph, string:leiden; embeddings &lt;= string:qdrant; retrieval &lt;= string:opensearch, string:retriev</x:v>
      </x:c>
    </x:row>
    <x:row r="101">
      <x:c r="A101" s="68" t="n">
        <x:v>100</x:v>
      </x:c>
      <x:c r="B101" s="69" t="str">
        <x:v>tiff/trace_net_answer_context_pack_v1.py</x:v>
      </x:c>
      <x:c r="C101" s="69" t="str">
        <x:v>trace_net_answer_context_pack_v1.py</x:v>
      </x:c>
      <x:c r="D101" s="69" t="str">
        <x:v>context</x:v>
      </x:c>
      <x:c r="E101" s="69" t="str">
        <x:v>ingestion, benchmarks, shared, serving</x:v>
      </x:c>
      <x:c r="F101" s="69" t="str">
        <x:v>context</x:v>
      </x:c>
      <x:c r="G101" s="69" t="str">
        <x:v>src/trace_net/context/</x:v>
      </x:c>
      <x:c r="H101" s="69" t="str">
        <x:v>src/trace_net/context/trace_net_answer_context_pack_v1.py</x:v>
      </x:c>
      <x:c r="I101" s="69" t="str">
        <x:v>active library module</x:v>
      </x:c>
      <x:c r="J101" s="69" t="str">
        <x:v>MOVE_WITH_IMPORT_UPDATES_AND_COMPATIBILITY_WRAPPER</x:v>
      </x:c>
      <x:c r="K101" s="70" t="b">
        <x:v>1</x:v>
      </x:c>
      <x:c r="L101" s="70" t="b">
        <x:v>0</x:v>
      </x:c>
      <x:c r="M101" s="70" t="b">
        <x:v>1</x:v>
      </x:c>
      <x:c r="N101" s="69" t="n">
        <x:v>3</x:v>
      </x:c>
      <x:c r="O101" s="69" t="n">
        <x:v>0</x:v>
      </x:c>
      <x:c r="P101" s="69" t="str">
        <x:v>scripts/build_trace_net_answer_context_pack_v1.py; scripts/check_trace_net_answer_context_pack_v1_quality.py; tests/unit/test_trace_net_answer_context_pack_v1_quality.py</x:v>
      </x:c>
      <x:c r="Q101" s="71" t="n">
        <x:v>0.95</x:v>
      </x:c>
      <x:c r="R101" s="69" t="str">
        <x:v>context/evidence naming</x:v>
      </x:c>
      <x:c r="S101" s="69" t="str">
        <x:v>Primary implementation belongs to the context stage based on filename, imports, and inventory evidence.</x:v>
      </x:c>
      <x:c r="T101" s="69" t="str">
        <x:v>Update imports and retain the old tiff module as a wrapper when callers exist.</x:v>
      </x:c>
      <x:c r="U101" s="69" t="str"/>
      <x:c r="V101" s="69" t="str"/>
      <x:c r="W101" s="69" t="str"/>
      <x:c r="X101" s="72" t="n">
        <x:v>69282</x:v>
      </x:c>
      <x:c r="Y101" s="70" t="b">
        <x:v>1</x:v>
      </x:c>
      <x:c r="Z101" s="69" t="str">
        <x:v>Compatibility required</x:v>
      </x:c>
      <x:c r="AA101" s="69" t="str">
        <x:v>https://github.com/jwild2027/heico-ai-internship-summer-2026/blob/srv/tiff/trace_net_answer_context_pack_v1.py</x:v>
      </x:c>
      <x:c r="AB101" s="69" t="str">
        <x:v>shared &lt;= import:contract, string:contract, string:helper, string:schema, string:source_id; ingestion &lt;= path:tiff, import:tiff, string:convert, string:tiff; ocr &lt;= string:ocr; visual &lt;= string:visual; tables &lt;= symbol:table, string:table; embeddings &lt;= string:embedding, string:embedding_candidate</x:v>
      </x:c>
    </x:row>
    <x:row r="102">
      <x:c r="A102" s="68" t="n">
        <x:v>101</x:v>
      </x:c>
      <x:c r="B102" s="69" t="str">
        <x:v>tiff/trace_net_answer_quality.py</x:v>
      </x:c>
      <x:c r="C102" s="69" t="str">
        <x:v>trace_net_answer_quality.py</x:v>
      </x:c>
      <x:c r="D102" s="69" t="str">
        <x:v>ingestion</x:v>
      </x:c>
      <x:c r="E102" s="69" t="str">
        <x:v>graph</x:v>
      </x:c>
      <x:c r="F102" s="69" t="str">
        <x:v>validation</x:v>
      </x:c>
      <x:c r="G102" s="69" t="str">
        <x:v>src/trace_net/validation/</x:v>
      </x:c>
      <x:c r="H102" s="69" t="str">
        <x:v>src/trace_net/validation/trace_net_answer_quality.py</x:v>
      </x:c>
      <x:c r="I102" s="69" t="str">
        <x:v>quality validator module</x:v>
      </x:c>
      <x:c r="J102" s="69" t="str">
        <x:v>MOVE_WITH_IMPORT_UPDATES_AND_COMPATIBILITY_WRAPPER</x:v>
      </x:c>
      <x:c r="K102" s="70" t="b">
        <x:v>1</x:v>
      </x:c>
      <x:c r="L102" s="70" t="b">
        <x:v>0</x:v>
      </x:c>
      <x:c r="M102" s="70" t="b">
        <x:v>1</x:v>
      </x:c>
      <x:c r="N102" s="69" t="n">
        <x:v>2</x:v>
      </x:c>
      <x:c r="O102" s="69" t="n">
        <x:v>0</x:v>
      </x:c>
      <x:c r="P102" s="69" t="str">
        <x:v>scripts/check_trace_net_answer_quality.py; tests/unit/test_tiff_trace_net_answer_quality.py</x:v>
      </x:c>
      <x:c r="Q102" s="71" t="n">
        <x:v>0.97</x:v>
      </x:c>
      <x:c r="R102" s="69" t="str">
        <x:v>validation/quality naming</x:v>
      </x:c>
      <x:c r="S102" s="69" t="str">
        <x:v>Quality logic is reusable source code for the validation stage.</x:v>
      </x:c>
      <x:c r="T102" s="69" t="str">
        <x:v>Update test and script imports; retain the old tiff import as a thin wrapper until PASS.</x:v>
      </x:c>
      <x:c r="U102" s="69" t="str"/>
      <x:c r="V102" s="69" t="str"/>
      <x:c r="W102" s="69" t="str"/>
      <x:c r="X102" s="72" t="n">
        <x:v>8395</x:v>
      </x:c>
      <x:c r="Y102" s="70" t="b">
        <x:v>1</x:v>
      </x:c>
      <x:c r="Z102" s="69" t="str">
        <x:v>Compatibility required</x:v>
      </x:c>
      <x:c r="AA102" s="69" t="str">
        <x:v>https://github.com/jwild2027/heico-ai-internship-summer-2026/blob/srv/tiff/trace_net_answer_quality.py</x:v>
      </x:c>
      <x:c r="AB102" s="69" t="str">
        <x:v>ingestion &lt;= path:tiff, string:tiff; ocr &lt;= string:ocr; graph &lt;= symbol:graph, string:graph; llm_writing &lt;= string:answer_draft; serving &lt;= import:sse; referenced_by_count=1</x:v>
      </x:c>
    </x:row>
    <x:row r="103">
      <x:c r="A103" s="68" t="n">
        <x:v>102</x:v>
      </x:c>
      <x:c r="B103" s="69" t="str">
        <x:v>tiff/trace_net_answer_quality_gate_v1.py</x:v>
      </x:c>
      <x:c r="C103" s="69" t="str">
        <x:v>trace_net_answer_quality_gate_v1.py</x:v>
      </x:c>
      <x:c r="D103" s="69" t="str">
        <x:v>validation</x:v>
      </x:c>
      <x:c r="E103" s="69" t="str"/>
      <x:c r="F103" s="69" t="str">
        <x:v>validation</x:v>
      </x:c>
      <x:c r="G103" s="69" t="str">
        <x:v>src/trace_net/validation/</x:v>
      </x:c>
      <x:c r="H103" s="69" t="str">
        <x:v>src/trace_net/validation/trace_net_answer_quality_gate_v1.py</x:v>
      </x:c>
      <x:c r="I103" s="69" t="str">
        <x:v>quality validator module</x:v>
      </x:c>
      <x:c r="J103" s="69" t="str">
        <x:v>MOVE_WITH_IMPORT_UPDATES_AND_COMPATIBILITY_WRAPPER</x:v>
      </x:c>
      <x:c r="K103" s="70" t="b">
        <x:v>1</x:v>
      </x:c>
      <x:c r="L103" s="70" t="b">
        <x:v>0</x:v>
      </x:c>
      <x:c r="M103" s="70" t="b">
        <x:v>1</x:v>
      </x:c>
      <x:c r="N103" s="69" t="n">
        <x:v>4</x:v>
      </x:c>
      <x:c r="O103" s="69" t="n">
        <x:v>0</x:v>
      </x:c>
      <x:c r="P103" s="69" t="str">
        <x:v>scripts/build_trace_net_answer_quality_gate_v1.py; scripts/check_trace_net_answer_quality_gate_v1_quality.py; tests/unit/test_trace_net_answer_quality_gate_v1.py; tests/unit/test_trace_net_answer_quality_gate_v1_quality.py</x:v>
      </x:c>
      <x:c r="Q103" s="71" t="n">
        <x:v>0.97</x:v>
      </x:c>
      <x:c r="R103" s="69" t="str">
        <x:v>validation/quality naming</x:v>
      </x:c>
      <x:c r="S103" s="69" t="str">
        <x:v>Quality logic is reusable source code for the validation stage.</x:v>
      </x:c>
      <x:c r="T103" s="69" t="str">
        <x:v>Update test and script imports; retain the old tiff import as a thin wrapper until PASS.</x:v>
      </x:c>
      <x:c r="U103" s="69" t="str"/>
      <x:c r="V103" s="69" t="str">
        <x:v>TRACE_NET_ANSWER_QUALITY_GATE_BUILT</x:v>
      </x:c>
      <x:c r="W103" s="69" t="str"/>
      <x:c r="X103" s="72" t="n">
        <x:v>27460</x:v>
      </x:c>
      <x:c r="Y103" s="70" t="b">
        <x:v>1</x:v>
      </x:c>
      <x:c r="Z103" s="69" t="str">
        <x:v>Compatibility required</x:v>
      </x:c>
      <x:c r="AA103" s="69" t="str">
        <x:v>https://github.com/jwild2027/heico-ai-internship-summer-2026/blob/srv/tiff/trace_net_answer_quality_gate_v1.py</x:v>
      </x:c>
      <x:c r="AB103" s="69" t="str">
        <x:v>ingestion &lt;= path:tiff; graph &lt;= string:community, string:graph, string:leiden; embeddings &lt;= string:qdrant; retrieval &lt;= string:opensearch; context &lt;= string:context_pack; llm_writing &lt;= string:answer_draft, string:llm_answer</x:v>
      </x:c>
    </x:row>
    <x:row r="104">
      <x:c r="A104" s="68" t="n">
        <x:v>103</x:v>
      </x:c>
      <x:c r="B104" s="69" t="str">
        <x:v>tiff/trace_net_answer_quality_guard_v1.py</x:v>
      </x:c>
      <x:c r="C104" s="69" t="str">
        <x:v>trace_net_answer_quality_guard_v1.py</x:v>
      </x:c>
      <x:c r="D104" s="69" t="str">
        <x:v>benchmarks</x:v>
      </x:c>
      <x:c r="E104" s="69" t="str">
        <x:v>ingestion, shared</x:v>
      </x:c>
      <x:c r="F104" s="69" t="str">
        <x:v>validation</x:v>
      </x:c>
      <x:c r="G104" s="69" t="str">
        <x:v>src/trace_net/validation/</x:v>
      </x:c>
      <x:c r="H104" s="69" t="str">
        <x:v>src/trace_net/validation/trace_net_answer_quality_guard_v1.py</x:v>
      </x:c>
      <x:c r="I104" s="69" t="str">
        <x:v>quality validator module</x:v>
      </x:c>
      <x:c r="J104" s="69" t="str">
        <x:v>MOVE_WITH_IMPORT_UPDATES_AND_COMPATIBILITY_WRAPPER</x:v>
      </x:c>
      <x:c r="K104" s="70" t="b">
        <x:v>1</x:v>
      </x:c>
      <x:c r="L104" s="70" t="b">
        <x:v>0</x:v>
      </x:c>
      <x:c r="M104" s="70" t="b">
        <x:v>1</x:v>
      </x:c>
      <x:c r="N104" s="69" t="n">
        <x:v>5</x:v>
      </x:c>
      <x:c r="O104" s="69" t="n">
        <x:v>3</x:v>
      </x:c>
      <x:c r="P104" s="69" t="str">
        <x:v>scripts/check_trace_net_h30_phase4_5_7_followup_duplicate_guard_v1.py; scripts/check_trace_net_h30_phase4_5_8_first38_discovery_contract_v1.py; scripts/run_trace_net_full_user_query_gemma_benchmark_v1.py; tests/unit/test_trace_net_answer_quality_guard_v1.py; tests/unit/test_trace_net_h30_phase4_5_7_followup_duplicate_guard_v1.py; scripts/check_trace_net_h30_phase4_5_5_mature_full_benchmark_contract_v1.py; tests/unit/test_trace_net_h30_phase4_5_5_mature_full_benchmark_contract_v1.py; tests/unit/test_trace_net_h30_phase4_5_8_first38_discovery_contract_v1.py</x:v>
      </x:c>
      <x:c r="Q104" s="71" t="n">
        <x:v>0.97</x:v>
      </x:c>
      <x:c r="R104" s="69" t="str">
        <x:v>validation/quality naming</x:v>
      </x:c>
      <x:c r="S104" s="69" t="str">
        <x:v>Quality logic is reusable source code for the validation stage.</x:v>
      </x:c>
      <x:c r="T104" s="69" t="str">
        <x:v>Update test and script imports; retain the old tiff import as a thin wrapper until PASS.</x:v>
      </x:c>
      <x:c r="U104" s="69" t="str"/>
      <x:c r="V104" s="69" t="str"/>
      <x:c r="W104" s="69" t="str"/>
      <x:c r="X104" s="72" t="n">
        <x:v>4717</x:v>
      </x:c>
      <x:c r="Y104" s="70" t="b">
        <x:v>1</x:v>
      </x:c>
      <x:c r="Z104" s="69" t="str">
        <x:v>Compatibility required</x:v>
      </x:c>
      <x:c r="AA104" s="69" t="str">
        <x:v>https://github.com/jwild2027/heico-ai-internship-summer-2026/blob/srv/tiff/trace_net_answer_quality_guard_v1.py</x:v>
      </x:c>
      <x:c r="AB104" s="69" t="str">
        <x:v>shared &lt;= string:identifier, string:shared; ingestion &lt;= path:tiff; visual &lt;= symbol:vision; tables &lt;= string:ipl; router &lt;= string:guided_discovery; context &lt;= string:source_trace</x:v>
      </x:c>
    </x:row>
    <x:row r="105">
      <x:c r="A105" s="68" t="n">
        <x:v>104</x:v>
      </x:c>
      <x:c r="B105" s="69" t="str">
        <x:v>tiff/trace_net_artifact_dependency_registry_v1.py</x:v>
      </x:c>
      <x:c r="C105" s="69" t="str">
        <x:v>trace_net_artifact_dependency_registry_v1.py</x:v>
      </x:c>
      <x:c r="D105" s="69" t="str">
        <x:v>benchmarks</x:v>
      </x:c>
      <x:c r="E105" s="69" t="str">
        <x:v>shared, ingestion, tables, serving</x:v>
      </x:c>
      <x:c r="F105" s="69" t="str">
        <x:v>validation</x:v>
      </x:c>
      <x:c r="G105" s="69" t="str">
        <x:v>src/trace_net/validation/</x:v>
      </x:c>
      <x:c r="H105" s="69" t="str">
        <x:v>src/trace_net/validation/trace_net_artifact_dependency_registry_v1.py</x:v>
      </x:c>
      <x:c r="I105" s="69" t="str">
        <x:v>active library module</x:v>
      </x:c>
      <x:c r="J105" s="69" t="str">
        <x:v>MOVE_WITH_IMPORT_UPDATES_AND_COMPATIBILITY_WRAPPER</x:v>
      </x:c>
      <x:c r="K105" s="70" t="b">
        <x:v>1</x:v>
      </x:c>
      <x:c r="L105" s="70" t="b">
        <x:v>0</x:v>
      </x:c>
      <x:c r="M105" s="70" t="b">
        <x:v>1</x:v>
      </x:c>
      <x:c r="N105" s="69" t="n">
        <x:v>4</x:v>
      </x:c>
      <x:c r="O105" s="69" t="n">
        <x:v>0</x:v>
      </x:c>
      <x:c r="P105" s="69" t="str">
        <x:v>scripts/build_trace_net_artifact_dependency_registry_v1.py; scripts/check_trace_net_artifact_dependency_registry_v1_quality.py; tests/unit/test_trace_net_artifact_dependency_registry_v1.py; tests/unit/test_trace_net_artifact_dependency_registry_v1_quality.py</x:v>
      </x:c>
      <x:c r="Q105" s="71" t="n">
        <x:v>0.95</x:v>
      </x:c>
      <x:c r="R105" s="69" t="str">
        <x:v>inventory stage: benchmarks</x:v>
      </x:c>
      <x:c r="S105" s="69" t="str">
        <x:v>Primary implementation belongs to the validation stage based on filename, imports, and inventory evidence.</x:v>
      </x:c>
      <x:c r="T105" s="69" t="str">
        <x:v>Update imports and retain the old tiff module as a wrapper when callers exist.</x:v>
      </x:c>
      <x:c r="U105" s="69" t="str"/>
      <x:c r="V105" s="69" t="str"/>
      <x:c r="W105" s="69" t="str"/>
      <x:c r="X105" s="72" t="n">
        <x:v>40268</x:v>
      </x:c>
      <x:c r="Y105" s="70" t="b">
        <x:v>1</x:v>
      </x:c>
      <x:c r="Z105" s="69" t="str">
        <x:v>Compatibility required</x:v>
      </x:c>
      <x:c r="AA105" s="69" t="str">
        <x:v>https://github.com/jwild2027/heico-ai-internship-summer-2026/blob/srv/tiff/trace_net_artifact_dependency_registry_v1.py</x:v>
      </x:c>
      <x:c r="AB105" s="69" t="str">
        <x:v>shared &lt;= symbol:schema, string:dublin_core, string:helper, string:schema; ingestion &lt;= path:tiff, string:page_image; ocr &lt;= string:fishnet; visual &lt;= string:callout, string:vision, string:visual; tables &lt;= symbol:table, string:table, string:table_cell; graph &lt;= string:community, string:graph, string:leiden</x:v>
      </x:c>
    </x:row>
    <x:row r="106">
      <x:c r="A106" s="68" t="n">
        <x:v>105</x:v>
      </x:c>
      <x:c r="B106" s="69" t="str">
        <x:v>tiff/trace_net_artifact_detector_v1.py</x:v>
      </x:c>
      <x:c r="C106" s="69" t="str">
        <x:v>trace_net_artifact_detector_v1.py</x:v>
      </x:c>
      <x:c r="D106" s="69" t="str">
        <x:v>ingestion</x:v>
      </x:c>
      <x:c r="E106" s="69" t="str">
        <x:v>shared, tables, serving</x:v>
      </x:c>
      <x:c r="F106" s="69" t="str">
        <x:v>ingestion</x:v>
      </x:c>
      <x:c r="G106" s="69" t="str">
        <x:v>src/trace_net/ingestion/</x:v>
      </x:c>
      <x:c r="H106" s="69" t="str">
        <x:v>src/trace_net/ingestion/trace_net_artifact_detector_v1.py</x:v>
      </x:c>
      <x:c r="I106" s="69" t="str">
        <x:v>active library module</x:v>
      </x:c>
      <x:c r="J106" s="69" t="str">
        <x:v>MOVE_WITH_IMPORT_UPDATES_AND_COMPATIBILITY_WRAPPER</x:v>
      </x:c>
      <x:c r="K106" s="70" t="b">
        <x:v>1</x:v>
      </x:c>
      <x:c r="L106" s="70" t="b">
        <x:v>0</x:v>
      </x:c>
      <x:c r="M106" s="70" t="b">
        <x:v>1</x:v>
      </x:c>
      <x:c r="N106" s="69" t="n">
        <x:v>2</x:v>
      </x:c>
      <x:c r="O106" s="69" t="n">
        <x:v>0</x:v>
      </x:c>
      <x:c r="P106" s="69" t="str">
        <x:v>scripts/build_trace_net_artifact_detector_v1.py; tests/unit/test_trace_net_artifact_detector_v1.py</x:v>
      </x:c>
      <x:c r="Q106" s="71" t="n">
        <x:v>0.95</x:v>
      </x:c>
      <x:c r="R106" s="69" t="str">
        <x:v>inventory stage: ingestion</x:v>
      </x:c>
      <x:c r="S106" s="69" t="str">
        <x:v>Primary implementation belongs to the ingestion stage based on filename, imports, and inventory evidence.</x:v>
      </x:c>
      <x:c r="T106" s="69" t="str">
        <x:v>Update imports and retain the old tiff module as a wrapper when callers exist.</x:v>
      </x:c>
      <x:c r="U106" s="69" t="str"/>
      <x:c r="V106" s="69" t="str">
        <x:v>TRACE_NET_ARTIFACT_DETECTED, TRACE_NET_ARTIFACT_DETECTOR_BUILT</x:v>
      </x:c>
      <x:c r="W106" s="69" t="str"/>
      <x:c r="X106" s="72" t="n">
        <x:v>31958</x:v>
      </x:c>
      <x:c r="Y106" s="70" t="b">
        <x:v>1</x:v>
      </x:c>
      <x:c r="Z106" s="69" t="str">
        <x:v>Compatibility required</x:v>
      </x:c>
      <x:c r="AA106" s="69" t="str">
        <x:v>https://github.com/jwild2027/heico-ai-internship-summer-2026/blob/srv/tiff/trace_net_artifact_detector_v1.py</x:v>
      </x:c>
      <x:c r="AB106" s="69" t="str">
        <x:v>shared &lt;= symbol:schema, string:identifier, string:schema; ingestion &lt;= path:tiff, symbol:extract_page, import:tiff; ocr &lt;= string:ocr; visual &lt;= string:image_visual, string:visual; tables &lt;= symbol:table, string:table; graph &lt;= string:community</x:v>
      </x:c>
    </x:row>
    <x:row r="107">
      <x:c r="A107" s="68" t="n">
        <x:v>106</x:v>
      </x:c>
      <x:c r="B107" s="69" t="str">
        <x:v>tiff/trace_net_artifact_detector_v1_quality.py</x:v>
      </x:c>
      <x:c r="C107" s="69" t="str">
        <x:v>trace_net_artifact_detector_v1_quality.py</x:v>
      </x:c>
      <x:c r="D107" s="69" t="str">
        <x:v>ingestion</x:v>
      </x:c>
      <x:c r="E107" s="69" t="str">
        <x:v>benchmarks</x:v>
      </x:c>
      <x:c r="F107" s="69" t="str">
        <x:v>validation</x:v>
      </x:c>
      <x:c r="G107" s="69" t="str">
        <x:v>src/trace_net/validation/</x:v>
      </x:c>
      <x:c r="H107" s="69" t="str">
        <x:v>src/trace_net/validation/trace_net_artifact_detector_v1_quality.py</x:v>
      </x:c>
      <x:c r="I107" s="69" t="str">
        <x:v>quality validator module</x:v>
      </x:c>
      <x:c r="J107" s="69" t="str">
        <x:v>MOVE_WITH_IMPORT_UPDATES_AND_COMPATIBILITY_WRAPPER</x:v>
      </x:c>
      <x:c r="K107" s="70" t="b">
        <x:v>1</x:v>
      </x:c>
      <x:c r="L107" s="70" t="b">
        <x:v>0</x:v>
      </x:c>
      <x:c r="M107" s="70" t="b">
        <x:v>1</x:v>
      </x:c>
      <x:c r="N107" s="69" t="n">
        <x:v>4</x:v>
      </x:c>
      <x:c r="O107" s="69" t="n">
        <x:v>0</x:v>
      </x:c>
      <x:c r="P107" s="69" t="str">
        <x:v>scripts/check_trace_net_artifact_detector_v1_quality.py; tests/unit/test_trace_net_artifact_detector_v1.py; tests/unit/test_trace_net_artifact_detector_v1_quality.py; tiff/trace_net_artifact_detector_v1.py</x:v>
      </x:c>
      <x:c r="Q107" s="71" t="n">
        <x:v>0.97</x:v>
      </x:c>
      <x:c r="R107" s="69" t="str">
        <x:v>validation/quality naming</x:v>
      </x:c>
      <x:c r="S107" s="69" t="str">
        <x:v>Quality logic is reusable source code for the validation stage.</x:v>
      </x:c>
      <x:c r="T107" s="69" t="str">
        <x:v>Update test and script imports; retain the old tiff import as a thin wrapper until PASS.</x:v>
      </x:c>
      <x:c r="U107" s="69" t="str"/>
      <x:c r="V107" s="69" t="str"/>
      <x:c r="W107" s="69" t="str"/>
      <x:c r="X107" s="72" t="n">
        <x:v>4223</x:v>
      </x:c>
      <x:c r="Y107" s="70" t="b">
        <x:v>1</x:v>
      </x:c>
      <x:c r="Z107" s="69" t="str">
        <x:v>Compatibility required</x:v>
      </x:c>
      <x:c r="AA107" s="69" t="str">
        <x:v>https://github.com/jwild2027/heico-ai-internship-summer-2026/blob/srv/tiff/trace_net_artifact_detector_v1_quality.py</x:v>
      </x:c>
      <x:c r="AB107" s="69" t="str">
        <x:v>shared &lt;= string:schema; ingestion &lt;= path:tiff; router &lt;= string:routing; serving &lt;= import:sse; benchmarks &lt;= symbol:eval; referenced_by_count=2</x:v>
      </x:c>
    </x:row>
    <x:row r="108">
      <x:c r="A108" s="68" t="n">
        <x:v>107</x:v>
      </x:c>
      <x:c r="B108" s="69" t="str">
        <x:v>tiff/trace_net_artifact_dirty_planner_v1.py</x:v>
      </x:c>
      <x:c r="C108" s="69" t="str">
        <x:v>trace_net_artifact_dirty_planner_v1.py</x:v>
      </x:c>
      <x:c r="D108" s="69" t="str">
        <x:v>serving</x:v>
      </x:c>
      <x:c r="E108" s="69" t="str">
        <x:v>benchmarks, ingestion</x:v>
      </x:c>
      <x:c r="F108" s="69" t="str">
        <x:v>serving</x:v>
      </x:c>
      <x:c r="G108" s="69" t="str">
        <x:v>src/trace_net/serving/</x:v>
      </x:c>
      <x:c r="H108" s="69" t="str">
        <x:v>src/trace_net/serving/trace_net_artifact_dirty_planner_v1.py</x:v>
      </x:c>
      <x:c r="I108" s="69" t="str">
        <x:v>active library module</x:v>
      </x:c>
      <x:c r="J108" s="69" t="str">
        <x:v>MOVE_WITH_IMPORT_UPDATES_AND_COMPATIBILITY_WRAPPER</x:v>
      </x:c>
      <x:c r="K108" s="70" t="b">
        <x:v>1</x:v>
      </x:c>
      <x:c r="L108" s="70" t="b">
        <x:v>0</x:v>
      </x:c>
      <x:c r="M108" s="70" t="b">
        <x:v>1</x:v>
      </x:c>
      <x:c r="N108" s="69" t="n">
        <x:v>4</x:v>
      </x:c>
      <x:c r="O108" s="69" t="n">
        <x:v>0</x:v>
      </x:c>
      <x:c r="P108" s="69" t="str">
        <x:v>scripts/build_trace_net_artifact_dirty_planner_v1.py; scripts/check_trace_net_artifact_dirty_planner_v1_quality.py; tests/unit/test_trace_net_artifact_dirty_planner_v1.py; tests/unit/test_trace_net_artifact_dirty_planner_v1_quality.py</x:v>
      </x:c>
      <x:c r="Q108" s="71" t="n">
        <x:v>0.95</x:v>
      </x:c>
      <x:c r="R108" s="69" t="str">
        <x:v>inventory stage: serving</x:v>
      </x:c>
      <x:c r="S108" s="69" t="str">
        <x:v>Primary implementation belongs to the serving stage based on filename, imports, and inventory evidence.</x:v>
      </x:c>
      <x:c r="T108" s="69" t="str">
        <x:v>Update imports and retain the old tiff module as a wrapper when callers exist.</x:v>
      </x:c>
      <x:c r="U108" s="69" t="str"/>
      <x:c r="V108" s="69" t="str">
        <x:v>TRACE_NET_DEFAULT_DOWNSTREAM_RULES</x:v>
      </x:c>
      <x:c r="W108" s="69" t="str"/>
      <x:c r="X108" s="72" t="n">
        <x:v>30291</x:v>
      </x:c>
      <x:c r="Y108" s="70" t="b">
        <x:v>1</x:v>
      </x:c>
      <x:c r="Z108" s="69" t="str">
        <x:v>Compatibility required</x:v>
      </x:c>
      <x:c r="AA108" s="69" t="str">
        <x:v>https://github.com/jwild2027/heico-ai-internship-summer-2026/blob/srv/tiff/trace_net_artifact_dirty_planner_v1.py</x:v>
      </x:c>
      <x:c r="AB108" s="69" t="str">
        <x:v>shared &lt;= string:contract, string:dublin_core, string:schema; ingestion &lt;= path:tiff; graph &lt;= string:community, string:graph, string:leiden; embeddings &lt;= string:qdrant; retrieval &lt;= string:opensearch, string:retriev; validation &lt;= string:critic, string:evidence_sufficiency</x:v>
      </x:c>
    </x:row>
    <x:row r="109">
      <x:c r="A109" s="68" t="n">
        <x:v>108</x:v>
      </x:c>
      <x:c r="B109" s="69" t="str">
        <x:v>tiff/trace_net_ask.py</x:v>
      </x:c>
      <x:c r="C109" s="69" t="str">
        <x:v>trace_net_ask.py</x:v>
      </x:c>
      <x:c r="D109" s="69" t="str">
        <x:v>ingestion</x:v>
      </x:c>
      <x:c r="E109" s="69" t="str"/>
      <x:c r="F109" s="69" t="str">
        <x:v>ingestion</x:v>
      </x:c>
      <x:c r="G109" s="69" t="str">
        <x:v>src/trace_net/ingestion/</x:v>
      </x:c>
      <x:c r="H109" s="69" t="str">
        <x:v>src/trace_net/ingestion/trace_net_ask.py</x:v>
      </x:c>
      <x:c r="I109" s="69" t="str">
        <x:v>active library module</x:v>
      </x:c>
      <x:c r="J109" s="69" t="str">
        <x:v>MOVE_WITH_IMPORT_UPDATES_AND_COMPATIBILITY_WRAPPER</x:v>
      </x:c>
      <x:c r="K109" s="70" t="b">
        <x:v>1</x:v>
      </x:c>
      <x:c r="L109" s="70" t="b">
        <x:v>0</x:v>
      </x:c>
      <x:c r="M109" s="70" t="b">
        <x:v>1</x:v>
      </x:c>
      <x:c r="N109" s="69" t="n">
        <x:v>3</x:v>
      </x:c>
      <x:c r="O109" s="69" t="n">
        <x:v>0</x:v>
      </x:c>
      <x:c r="P109" s="69" t="str">
        <x:v>scripts/trace_net_ask.py; tests/unit/test_tiff_trace_net_ask.py; tests/unit/test_tiff_trace_net_ask_cli.py</x:v>
      </x:c>
      <x:c r="Q109" s="71" t="n">
        <x:v>0.95</x:v>
      </x:c>
      <x:c r="R109" s="69" t="str">
        <x:v>inventory stage: ingestion</x:v>
      </x:c>
      <x:c r="S109" s="69" t="str">
        <x:v>Primary implementation belongs to the ingestion stage based on filename, imports, and inventory evidence.</x:v>
      </x:c>
      <x:c r="T109" s="69" t="str">
        <x:v>Update imports and retain the old tiff module as a wrapper when callers exist.</x:v>
      </x:c>
      <x:c r="U109" s="69" t="str"/>
      <x:c r="V109" s="69" t="str"/>
      <x:c r="W109" s="69" t="str"/>
      <x:c r="X109" s="72" t="n">
        <x:v>21324</x:v>
      </x:c>
      <x:c r="Y109" s="70" t="b">
        <x:v>1</x:v>
      </x:c>
      <x:c r="Z109" s="69" t="str">
        <x:v>Compatibility required</x:v>
      </x:c>
      <x:c r="AA109" s="69" t="str">
        <x:v>https://github.com/jwild2027/heico-ai-internship-summer-2026/blob/srv/tiff/trace_net_ask.py</x:v>
      </x:c>
      <x:c r="AB109" s="69" t="str">
        <x:v>ingestion &lt;= path:tiff, string:tiff; ocr &lt;= string:ocr; tables &lt;= string:table; embeddings &lt;= string:rag_candidate; retrieval &lt;= string:retriev; llm_writing &lt;= string:answer_draft</x:v>
      </x:c>
    </x:row>
    <x:row r="110">
      <x:c r="A110" s="68" t="n">
        <x:v>109</x:v>
      </x:c>
      <x:c r="B110" s="69" t="str">
        <x:v>tiff/trace_net_ask_api_dynamic_retrieval_v2.py</x:v>
      </x:c>
      <x:c r="C110" s="69" t="str">
        <x:v>trace_net_ask_api_dynamic_retrieval_v2.py</x:v>
      </x:c>
      <x:c r="D110" s="69" t="str">
        <x:v>serving</x:v>
      </x:c>
      <x:c r="E110" s="69" t="str">
        <x:v>retrieval, benchmarks, ingestion</x:v>
      </x:c>
      <x:c r="F110" s="69" t="str">
        <x:v>serving</x:v>
      </x:c>
      <x:c r="G110" s="69" t="str">
        <x:v>src/trace_net/serving/</x:v>
      </x:c>
      <x:c r="H110" s="69" t="str">
        <x:v>src/trace_net/serving/trace_net_ask_api_dynamic_retrieval_v2.py</x:v>
      </x:c>
      <x:c r="I110" s="69" t="str">
        <x:v>serving/runtime module</x:v>
      </x:c>
      <x:c r="J110" s="69" t="str">
        <x:v>MOVE_WITH_PROTECTED_COMPATIBILITY_WRAPPER</x:v>
      </x:c>
      <x:c r="K110" s="70" t="b">
        <x:v>1</x:v>
      </x:c>
      <x:c r="L110" s="70" t="b">
        <x:v>1</x:v>
      </x:c>
      <x:c r="M110" s="70" t="b">
        <x:v>1</x:v>
      </x:c>
      <x:c r="N110" s="69" t="n">
        <x:v>4</x:v>
      </x:c>
      <x:c r="O110" s="69" t="n">
        <x:v>0</x:v>
      </x:c>
      <x:c r="P110" s="69" t="str">
        <x:v>scripts/check_trace_net_ask_api_dynamic_retrieval_v2_quality.py; scripts/run_trace_net_ask_api_dynamic_retrieval_v2.py; tests/unit/test_trace_net_ask_api_dynamic_retrieval_v2.py; tests/unit/test_trace_net_ask_api_dynamic_retrieval_v2_quality.py</x:v>
      </x:c>
      <x:c r="Q110" s="71" t="n">
        <x:v>0.98</x:v>
      </x:c>
      <x:c r="R110" s="69" t="str">
        <x:v>retrieval/search naming</x:v>
      </x:c>
      <x:c r="S110" s="69" t="str">
        <x:v>API, endpoint, server, bridge, or console implementation used by runtime callers.</x:v>
      </x:c>
      <x:c r="T110" s="69" t="str">
        <x:v>Old entrypoint must remain callable; verify relevant ports and OpenWebUI behavior.</x:v>
      </x:c>
      <x:c r="U110" s="69" t="str">
        <x:v>8013</x:v>
      </x:c>
      <x:c r="V110" s="69" t="str">
        <x:v>TRACE_NET_ASK_API_KEY</x:v>
      </x:c>
      <x:c r="W110" s="69" t="str"/>
      <x:c r="X110" s="72" t="n">
        <x:v>37968</x:v>
      </x:c>
      <x:c r="Y110" s="70" t="b">
        <x:v>1</x:v>
      </x:c>
      <x:c r="Z110" s="69" t="str">
        <x:v>Protected runtime</x:v>
      </x:c>
      <x:c r="AA110" s="69" t="str">
        <x:v>https://github.com/jwild2027/heico-ai-internship-summer-2026/blob/srv/tiff/trace_net_ask_api_dynamic_retrieval_v2.py</x:v>
      </x:c>
      <x:c r="AB110" s="69" t="str">
        <x:v>shared &lt;= string:contract, string:schema; ingestion &lt;= path:tiff, symbol:convert, import:tiff; tables &lt;= symbol:table; graph &lt;= string:community, string:graph, string:leiden; embeddings &lt;= string:qdrant; retrieval &lt;= path:retriev, string:opensearch, string:retriev</x:v>
      </x:c>
    </x:row>
    <x:row r="111">
      <x:c r="A111" s="68" t="n">
        <x:v>110</x:v>
      </x:c>
      <x:c r="B111" s="69" t="str">
        <x:v>tiff/trace_net_ask_api_final_return_policy_hybrid_v3_v22.py</x:v>
      </x:c>
      <x:c r="C111" s="69" t="str">
        <x:v>trace_net_ask_api_final_return_policy_hybrid_v3_v22.py</x:v>
      </x:c>
      <x:c r="D111" s="69" t="str">
        <x:v>serving</x:v>
      </x:c>
      <x:c r="E111" s="69" t="str"/>
      <x:c r="F111" s="69" t="str">
        <x:v>serving</x:v>
      </x:c>
      <x:c r="G111" s="69" t="str">
        <x:v>src/trace_net/serving/</x:v>
      </x:c>
      <x:c r="H111" s="69" t="str">
        <x:v>src/trace_net/serving/trace_net_ask_api_final_return_policy_hybrid_v3_v22.py</x:v>
      </x:c>
      <x:c r="I111" s="69" t="str">
        <x:v>serving/runtime module</x:v>
      </x:c>
      <x:c r="J111" s="69" t="str">
        <x:v>MOVE_WITH_PROTECTED_COMPATIBILITY_WRAPPER</x:v>
      </x:c>
      <x:c r="K111" s="70" t="b">
        <x:v>1</x:v>
      </x:c>
      <x:c r="L111" s="70" t="b">
        <x:v>1</x:v>
      </x:c>
      <x:c r="M111" s="70" t="b">
        <x:v>1</x:v>
      </x:c>
      <x:c r="N111" s="69" t="n">
        <x:v>5</x:v>
      </x:c>
      <x:c r="O111" s="69" t="n">
        <x:v>0</x:v>
      </x:c>
      <x:c r="P111" s="69" t="str">
        <x:v>scripts/build_trace_net_ask_api_final_return_policy_hybrid_v3_v22.py; scripts/run_trace_net_ask_api_final_return_policy_hybrid_v3_v22.py; tests/unit/test_trace_net_ask_api_final_return_policy_hybrid_v3_v22.py; tests/unit/test_trace_net_ask_api_final_return_policy_hybrid_v3_v22_quality.py; tiff/trace_net_ask_api_final_return_policy_hybrid_v3_v22_quality.py</x:v>
      </x:c>
      <x:c r="Q111" s="71" t="n">
        <x:v>0.98</x:v>
      </x:c>
      <x:c r="R111" s="69" t="str">
        <x:v>serving/API naming</x:v>
      </x:c>
      <x:c r="S111" s="69" t="str">
        <x:v>API, endpoint, server, bridge, or console implementation used by runtime callers.</x:v>
      </x:c>
      <x:c r="T111" s="69" t="str">
        <x:v>Old entrypoint must remain callable; verify relevant ports and OpenWebUI behavior.</x:v>
      </x:c>
      <x:c r="U111" s="69" t="str">
        <x:v>8016</x:v>
      </x:c>
      <x:c r="V111" s="69" t="str"/>
      <x:c r="W111" s="69" t="str"/>
      <x:c r="X111" s="72" t="n">
        <x:v>28969</x:v>
      </x:c>
      <x:c r="Y111" s="70" t="b">
        <x:v>1</x:v>
      </x:c>
      <x:c r="Z111" s="69" t="str">
        <x:v>Protected runtime</x:v>
      </x:c>
      <x:c r="AA111" s="69" t="str">
        <x:v>https://github.com/jwild2027/heico-ai-internship-summer-2026/blob/srv/tiff/trace_net_ask_api_final_return_policy_hybrid_v3_v22.py</x:v>
      </x:c>
      <x:c r="AB111" s="69" t="str">
        <x:v>shared &lt;= string:contract, string:schema; ingestion &lt;= path:tiff; tables &lt;= symbol:table; graph &lt;= string:community, string:graph; embeddings &lt;= string:qdrant; retrieval &lt;= string:opensearch, string:retriev</x:v>
      </x:c>
    </x:row>
    <x:row r="112">
      <x:c r="A112" s="68" t="n">
        <x:v>111</x:v>
      </x:c>
      <x:c r="B112" s="69" t="str">
        <x:v>tiff/trace_net_ask_api_final_return_policy_hybrid_v3_v22_quality.py</x:v>
      </x:c>
      <x:c r="C112" s="69" t="str">
        <x:v>trace_net_ask_api_final_return_policy_hybrid_v3_v22_quality.py</x:v>
      </x:c>
      <x:c r="D112" s="69" t="str">
        <x:v>serving</x:v>
      </x:c>
      <x:c r="E112" s="69" t="str">
        <x:v>ingestion</x:v>
      </x:c>
      <x:c r="F112" s="69" t="str">
        <x:v>validation</x:v>
      </x:c>
      <x:c r="G112" s="69" t="str">
        <x:v>src/trace_net/validation/</x:v>
      </x:c>
      <x:c r="H112" s="69" t="str">
        <x:v>src/trace_net/validation/trace_net_ask_api_final_return_policy_hybrid_v3_v22_quality.py</x:v>
      </x:c>
      <x:c r="I112" s="69" t="str">
        <x:v>quality validator module</x:v>
      </x:c>
      <x:c r="J112" s="69" t="str">
        <x:v>MOVE_WITH_IMPORT_UPDATES_AND_COMPATIBILITY_WRAPPER</x:v>
      </x:c>
      <x:c r="K112" s="70" t="b">
        <x:v>1</x:v>
      </x:c>
      <x:c r="L112" s="70" t="b">
        <x:v>0</x:v>
      </x:c>
      <x:c r="M112" s="70" t="b">
        <x:v>1</x:v>
      </x:c>
      <x:c r="N112" s="69" t="n">
        <x:v>1</x:v>
      </x:c>
      <x:c r="O112" s="69" t="n">
        <x:v>0</x:v>
      </x:c>
      <x:c r="P112" s="69" t="str">
        <x:v>scripts/check_trace_net_ask_api_final_return_policy_hybrid_v3_v22_quality.py</x:v>
      </x:c>
      <x:c r="Q112" s="71" t="n">
        <x:v>0.97</x:v>
      </x:c>
      <x:c r="R112" s="69" t="str">
        <x:v>serving/API naming</x:v>
      </x:c>
      <x:c r="S112" s="69" t="str">
        <x:v>Quality logic is reusable source code for the serving stage.</x:v>
      </x:c>
      <x:c r="T112" s="69" t="str">
        <x:v>Update test and script imports; retain the old tiff import as a thin wrapper until PASS.</x:v>
      </x:c>
      <x:c r="U112" s="69" t="str"/>
      <x:c r="V112" s="69" t="str"/>
      <x:c r="W112" s="69" t="str"/>
      <x:c r="X112" s="72" t="n">
        <x:v>1284</x:v>
      </x:c>
      <x:c r="Y112" s="70" t="b">
        <x:v>1</x:v>
      </x:c>
      <x:c r="Z112" s="69" t="str">
        <x:v>Compatibility required</x:v>
      </x:c>
      <x:c r="AA112" s="69" t="str">
        <x:v>https://github.com/jwild2027/heico-ai-internship-summer-2026/blob/srv/tiff/trace_net_ask_api_final_return_policy_hybrid_v3_v22_quality.py</x:v>
      </x:c>
      <x:c r="AB112" s="69" t="str">
        <x:v>ingestion &lt;= path:tiff, import:tiff; serving &lt;= path:api, import:api, string:api; referenced_by_count=1; imported_by_count=1</x:v>
      </x:c>
    </x:row>
    <x:row r="113">
      <x:c r="A113" s="68" t="n">
        <x:v>112</x:v>
      </x:c>
      <x:c r="B113" s="69" t="str">
        <x:v>tiff/trace_net_ask_api_final_return_policy_v21.py</x:v>
      </x:c>
      <x:c r="C113" s="69" t="str">
        <x:v>trace_net_ask_api_final_return_policy_v21.py</x:v>
      </x:c>
      <x:c r="D113" s="69" t="str">
        <x:v>serving</x:v>
      </x:c>
      <x:c r="E113" s="69" t="str"/>
      <x:c r="F113" s="69" t="str">
        <x:v>serving</x:v>
      </x:c>
      <x:c r="G113" s="69" t="str">
        <x:v>src/trace_net/serving/</x:v>
      </x:c>
      <x:c r="H113" s="69" t="str">
        <x:v>src/trace_net/serving/trace_net_ask_api_final_return_policy_v21.py</x:v>
      </x:c>
      <x:c r="I113" s="69" t="str">
        <x:v>serving/runtime module</x:v>
      </x:c>
      <x:c r="J113" s="69" t="str">
        <x:v>MOVE_WITH_PROTECTED_COMPATIBILITY_WRAPPER</x:v>
      </x:c>
      <x:c r="K113" s="70" t="b">
        <x:v>1</x:v>
      </x:c>
      <x:c r="L113" s="70" t="b">
        <x:v>1</x:v>
      </x:c>
      <x:c r="M113" s="70" t="b">
        <x:v>1</x:v>
      </x:c>
      <x:c r="N113" s="69" t="n">
        <x:v>5</x:v>
      </x:c>
      <x:c r="O113" s="69" t="n">
        <x:v>0</x:v>
      </x:c>
      <x:c r="P113" s="69" t="str">
        <x:v>scripts/build_trace_net_ask_api_final_return_policy_v21.py; scripts/check_trace_net_ask_api_final_return_policy_v21_quality.py; scripts/run_trace_net_ask_api_final_return_policy_v21.py; tests/unit/test_trace_net_ask_api_final_return_policy_v21.py; tests/unit/test_trace_net_ask_api_final_return_policy_v21_quality.py</x:v>
      </x:c>
      <x:c r="Q113" s="71" t="n">
        <x:v>0.98</x:v>
      </x:c>
      <x:c r="R113" s="69" t="str">
        <x:v>serving/API naming</x:v>
      </x:c>
      <x:c r="S113" s="69" t="str">
        <x:v>API, endpoint, server, bridge, or console implementation used by runtime callers.</x:v>
      </x:c>
      <x:c r="T113" s="69" t="str">
        <x:v>Old entrypoint must remain callable; verify relevant ports and OpenWebUI behavior.</x:v>
      </x:c>
      <x:c r="U113" s="69" t="str">
        <x:v>8014</x:v>
      </x:c>
      <x:c r="V113" s="69" t="str"/>
      <x:c r="W113" s="69" t="str"/>
      <x:c r="X113" s="72" t="n">
        <x:v>46770</x:v>
      </x:c>
      <x:c r="Y113" s="70" t="b">
        <x:v>1</x:v>
      </x:c>
      <x:c r="Z113" s="69" t="str">
        <x:v>Protected runtime</x:v>
      </x:c>
      <x:c r="AA113" s="69" t="str">
        <x:v>https://github.com/jwild2027/heico-ai-internship-summer-2026/blob/srv/tiff/trace_net_ask_api_final_return_policy_v21.py</x:v>
      </x:c>
      <x:c r="AB113" s="69" t="str">
        <x:v>shared &lt;= string:contract, string:schema; ingestion &lt;= path:tiff; tables &lt;= symbol:table; graph &lt;= string:community; embeddings &lt;= string:qdrant; retrieval &lt;= symbol:retriev, string:opensearch, string:retriev</x:v>
      </x:c>
    </x:row>
    <x:row r="114">
      <x:c r="A114" s="68" t="n">
        <x:v>113</x:v>
      </x:c>
      <x:c r="B114" s="69" t="str">
        <x:v>tiff/trace_net_ask_api_hybrid_v3_routing_v1.py</x:v>
      </x:c>
      <x:c r="C114" s="69" t="str">
        <x:v>trace_net_ask_api_hybrid_v3_routing_v1.py</x:v>
      </x:c>
      <x:c r="D114" s="69" t="str">
        <x:v>serving</x:v>
      </x:c>
      <x:c r="E114" s="69" t="str">
        <x:v>router</x:v>
      </x:c>
      <x:c r="F114" s="69" t="str">
        <x:v>serving</x:v>
      </x:c>
      <x:c r="G114" s="69" t="str">
        <x:v>src/trace_net/serving/</x:v>
      </x:c>
      <x:c r="H114" s="69" t="str">
        <x:v>src/trace_net/serving/trace_net_ask_api_hybrid_v3_routing_v1.py</x:v>
      </x:c>
      <x:c r="I114" s="69" t="str">
        <x:v>serving/runtime module</x:v>
      </x:c>
      <x:c r="J114" s="69" t="str">
        <x:v>MOVE_WITH_PROTECTED_COMPATIBILITY_WRAPPER</x:v>
      </x:c>
      <x:c r="K114" s="70" t="b">
        <x:v>1</x:v>
      </x:c>
      <x:c r="L114" s="70" t="b">
        <x:v>1</x:v>
      </x:c>
      <x:c r="M114" s="70" t="b">
        <x:v>1</x:v>
      </x:c>
      <x:c r="N114" s="69" t="n">
        <x:v>5</x:v>
      </x:c>
      <x:c r="O114" s="69" t="n">
        <x:v>0</x:v>
      </x:c>
      <x:c r="P114" s="69" t="str">
        <x:v>scripts/build_trace_net_ask_api_hybrid_v3_routing_v1.py; scripts/check_trace_net_ask_api_hybrid_v3_routing_v1_quality.py; scripts/run_trace_net_ask_api_hybrid_v3_routing_v1.py; tests/unit/test_trace_net_ask_api_hybrid_v3_routing_v1.py; tests/unit/test_trace_net_ask_api_hybrid_v3_routing_v1_quality.py</x:v>
      </x:c>
      <x:c r="Q114" s="71" t="n">
        <x:v>0.98</x:v>
      </x:c>
      <x:c r="R114" s="69" t="str">
        <x:v>serving/API naming</x:v>
      </x:c>
      <x:c r="S114" s="69" t="str">
        <x:v>API, endpoint, server, bridge, or console implementation used by runtime callers.</x:v>
      </x:c>
      <x:c r="T114" s="69" t="str">
        <x:v>Old entrypoint must remain callable; verify relevant ports and OpenWebUI behavior.</x:v>
      </x:c>
      <x:c r="U114" s="69" t="str">
        <x:v>8015</x:v>
      </x:c>
      <x:c r="V114" s="69" t="str">
        <x:v>TRACE_NET_ASK_API_KEY</x:v>
      </x:c>
      <x:c r="W114" s="69" t="str"/>
      <x:c r="X114" s="72" t="n">
        <x:v>35817</x:v>
      </x:c>
      <x:c r="Y114" s="70" t="b">
        <x:v>1</x:v>
      </x:c>
      <x:c r="Z114" s="69" t="str">
        <x:v>Protected runtime</x:v>
      </x:c>
      <x:c r="AA114" s="69" t="str">
        <x:v>https://github.com/jwild2027/heico-ai-internship-summer-2026/blob/srv/tiff/trace_net_ask_api_hybrid_v3_routing_v1.py</x:v>
      </x:c>
      <x:c r="AB114" s="69" t="str">
        <x:v>shared &lt;= string:contract, string:schema; ingestion &lt;= path:tiff, symbol:convert; tables &lt;= symbol:table; graph &lt;= string:community, string:graph; embeddings &lt;= string:qdrant; retrieval &lt;= string:opensearch, string:retriev</x:v>
      </x:c>
    </x:row>
    <x:row r="115">
      <x:c r="A115" s="68" t="n">
        <x:v>114</x:v>
      </x:c>
      <x:c r="B115" s="69" t="str">
        <x:v>tiff/trace_net_ask_api_v1.py</x:v>
      </x:c>
      <x:c r="C115" s="69" t="str">
        <x:v>trace_net_ask_api_v1.py</x:v>
      </x:c>
      <x:c r="D115" s="69" t="str">
        <x:v>serving</x:v>
      </x:c>
      <x:c r="E115" s="69" t="str"/>
      <x:c r="F115" s="69" t="str">
        <x:v>serving</x:v>
      </x:c>
      <x:c r="G115" s="69" t="str">
        <x:v>src/trace_net/serving/</x:v>
      </x:c>
      <x:c r="H115" s="69" t="str">
        <x:v>src/trace_net/serving/trace_net_ask_api_v1.py</x:v>
      </x:c>
      <x:c r="I115" s="69" t="str">
        <x:v>serving/runtime module</x:v>
      </x:c>
      <x:c r="J115" s="69" t="str">
        <x:v>MOVE_WITH_PROTECTED_COMPATIBILITY_WRAPPER</x:v>
      </x:c>
      <x:c r="K115" s="70" t="b">
        <x:v>1</x:v>
      </x:c>
      <x:c r="L115" s="70" t="b">
        <x:v>1</x:v>
      </x:c>
      <x:c r="M115" s="70" t="b">
        <x:v>1</x:v>
      </x:c>
      <x:c r="N115" s="69" t="n">
        <x:v>4</x:v>
      </x:c>
      <x:c r="O115" s="69" t="n">
        <x:v>0</x:v>
      </x:c>
      <x:c r="P115" s="69" t="str">
        <x:v>scripts/check_trace_net_ask_api_v1_quality.py; scripts/run_trace_net_ask_api_v1.py; tests/unit/test_trace_net_ask_api_v1.py; tests/unit/test_trace_net_ask_api_v1_quality.py</x:v>
      </x:c>
      <x:c r="Q115" s="71" t="n">
        <x:v>0.98</x:v>
      </x:c>
      <x:c r="R115" s="69" t="str">
        <x:v>serving/API naming</x:v>
      </x:c>
      <x:c r="S115" s="69" t="str">
        <x:v>API, endpoint, server, bridge, or console implementation used by runtime callers.</x:v>
      </x:c>
      <x:c r="T115" s="69" t="str">
        <x:v>Old entrypoint must remain callable; verify relevant ports and OpenWebUI behavior.</x:v>
      </x:c>
      <x:c r="U115" s="69" t="str">
        <x:v>8012</x:v>
      </x:c>
      <x:c r="V115" s="69" t="str">
        <x:v>TRACE_NET_ASK_API_KEY</x:v>
      </x:c>
      <x:c r="W115" s="69" t="str"/>
      <x:c r="X115" s="72" t="n">
        <x:v>30058</x:v>
      </x:c>
      <x:c r="Y115" s="70" t="b">
        <x:v>1</x:v>
      </x:c>
      <x:c r="Z115" s="69" t="str">
        <x:v>Protected runtime</x:v>
      </x:c>
      <x:c r="AA115" s="69" t="str">
        <x:v>https://github.com/jwild2027/heico-ai-internship-summer-2026/blob/srv/tiff/trace_net_ask_api_v1.py</x:v>
      </x:c>
      <x:c r="AB115" s="69" t="str">
        <x:v>shared &lt;= string:schema; ingestion &lt;= path:tiff; tables &lt;= symbol:table; graph &lt;= string:community, string:leiden; embeddings &lt;= string:qdrant; retrieval &lt;= symbol:retriev, string:opensearch, string:retriev</x:v>
      </x:c>
    </x:row>
    <x:row r="116">
      <x:c r="A116" s="68" t="n">
        <x:v>115</x:v>
      </x:c>
      <x:c r="B116" s="69" t="str">
        <x:v>tiff/trace_net_ask_final_gate_v1.py</x:v>
      </x:c>
      <x:c r="C116" s="69" t="str">
        <x:v>trace_net_ask_final_gate_v1.py</x:v>
      </x:c>
      <x:c r="D116" s="69" t="str">
        <x:v>benchmarks</x:v>
      </x:c>
      <x:c r="E116" s="69" t="str">
        <x:v>serving, ingestion, llm_writing</x:v>
      </x:c>
      <x:c r="F116" s="69" t="str">
        <x:v>validation</x:v>
      </x:c>
      <x:c r="G116" s="69" t="str">
        <x:v>src/trace_net/validation/</x:v>
      </x:c>
      <x:c r="H116" s="69" t="str">
        <x:v>src/trace_net/validation/trace_net_ask_final_gate_v1.py</x:v>
      </x:c>
      <x:c r="I116" s="69" t="str">
        <x:v>runtime validation/gating module</x:v>
      </x:c>
      <x:c r="J116" s="69" t="str">
        <x:v>MOVE_WITH_IMPORT_UPDATES_AND_COMPATIBILITY_WRAPPER</x:v>
      </x:c>
      <x:c r="K116" s="70" t="b">
        <x:v>1</x:v>
      </x:c>
      <x:c r="L116" s="70" t="b">
        <x:v>0</x:v>
      </x:c>
      <x:c r="M116" s="70" t="b">
        <x:v>1</x:v>
      </x:c>
      <x:c r="N116" s="69" t="n">
        <x:v>4</x:v>
      </x:c>
      <x:c r="O116" s="69" t="n">
        <x:v>0</x:v>
      </x:c>
      <x:c r="P116" s="69" t="str">
        <x:v>scripts/check_trace_net_ask_final_gate_v1_quality.py; scripts/run_trace_net_ask_final_gate_v1.py; tests/unit/test_trace_net_ask_final_gate_v1.py; tests/unit/test_trace_net_ask_final_gate_v1_quality.py</x:v>
      </x:c>
      <x:c r="Q116" s="71" t="n">
        <x:v>0.96</x:v>
      </x:c>
      <x:c r="R116" s="69" t="str">
        <x:v>validation/quality naming</x:v>
      </x:c>
      <x:c r="S116" s="69" t="str">
        <x:v>Implements a runtime gate, critic, hardener, or evidence sufficiency check.</x:v>
      </x:c>
      <x:c r="T116" s="69" t="str">
        <x:v>Preserve gating semantics and old import path until focused tests pass.</x:v>
      </x:c>
      <x:c r="U116" s="69" t="str"/>
      <x:c r="V116" s="69" t="str"/>
      <x:c r="W116" s="69" t="str"/>
      <x:c r="X116" s="72" t="n">
        <x:v>36390</x:v>
      </x:c>
      <x:c r="Y116" s="70" t="b">
        <x:v>1</x:v>
      </x:c>
      <x:c r="Z116" s="69" t="str">
        <x:v>Compatibility required</x:v>
      </x:c>
      <x:c r="AA116" s="69" t="str">
        <x:v>https://github.com/jwild2027/heico-ai-internship-summer-2026/blob/srv/tiff/trace_net_ask_final_gate_v1.py</x:v>
      </x:c>
      <x:c r="AB116" s="69" t="str">
        <x:v>shared &lt;= string:helper, string:schema; ingestion &lt;= path:tiff, string:tiff; ocr &lt;= string:ocr; embeddings &lt;= string:embedding; retrieval &lt;= string:retriev; llm_writing &lt;= symbol:final_answer, string:final_answer</x:v>
      </x:c>
    </x:row>
    <x:row r="117">
      <x:c r="A117" s="68" t="n">
        <x:v>116</x:v>
      </x:c>
      <x:c r="B117" s="69" t="str">
        <x:v>tiff/trace_net_ask_hybrid_flag_v1.py</x:v>
      </x:c>
      <x:c r="C117" s="69" t="str">
        <x:v>trace_net_ask_hybrid_flag_v1.py</x:v>
      </x:c>
      <x:c r="D117" s="69" t="str">
        <x:v>benchmarks</x:v>
      </x:c>
      <x:c r="E117" s="69" t="str">
        <x:v>ingestion, serving, retrieval</x:v>
      </x:c>
      <x:c r="F117" s="69" t="str">
        <x:v>validation</x:v>
      </x:c>
      <x:c r="G117" s="69" t="str">
        <x:v>src/trace_net/validation/</x:v>
      </x:c>
      <x:c r="H117" s="69" t="str">
        <x:v>src/trace_net/validation/trace_net_ask_hybrid_flag_v1.py</x:v>
      </x:c>
      <x:c r="I117" s="69" t="str">
        <x:v>active library module</x:v>
      </x:c>
      <x:c r="J117" s="69" t="str">
        <x:v>MOVE_WITH_IMPORT_UPDATES_AND_COMPATIBILITY_WRAPPER</x:v>
      </x:c>
      <x:c r="K117" s="70" t="b">
        <x:v>1</x:v>
      </x:c>
      <x:c r="L117" s="70" t="b">
        <x:v>0</x:v>
      </x:c>
      <x:c r="M117" s="70" t="b">
        <x:v>1</x:v>
      </x:c>
      <x:c r="N117" s="69" t="n">
        <x:v>2</x:v>
      </x:c>
      <x:c r="O117" s="69" t="n">
        <x:v>0</x:v>
      </x:c>
      <x:c r="P117" s="69" t="str">
        <x:v>scripts/check_trace_net_ask_hybrid_flag_v1_quality.py; scripts/run_trace_net_ask_hybrid_flag_v1.py</x:v>
      </x:c>
      <x:c r="Q117" s="71" t="n">
        <x:v>0.95</x:v>
      </x:c>
      <x:c r="R117" s="69" t="str">
        <x:v>inventory stage: benchmarks</x:v>
      </x:c>
      <x:c r="S117" s="69" t="str">
        <x:v>Primary implementation belongs to the validation stage based on filename, imports, and inventory evidence.</x:v>
      </x:c>
      <x:c r="T117" s="69" t="str">
        <x:v>Update imports and retain the old tiff module as a wrapper when callers exist.</x:v>
      </x:c>
      <x:c r="U117" s="69" t="str"/>
      <x:c r="V117" s="69" t="str">
        <x:v>TRACE_NET_DATABASE_URL, TRACE_NET_OLLAMA_URL</x:v>
      </x:c>
      <x:c r="W117" s="69" t="str"/>
      <x:c r="X117" s="72" t="n">
        <x:v>43914</x:v>
      </x:c>
      <x:c r="Y117" s="70" t="b">
        <x:v>1</x:v>
      </x:c>
      <x:c r="Z117" s="69" t="str">
        <x:v>Compatibility required</x:v>
      </x:c>
      <x:c r="AA117" s="69" t="str">
        <x:v>https://github.com/jwild2027/heico-ai-internship-summer-2026/blob/srv/tiff/trace_net_ask_hybrid_flag_v1.py</x:v>
      </x:c>
      <x:c r="AB117" s="69" t="str">
        <x:v>shared &lt;= string:contract, string:helper, string:schema, string:trust_tier; ingestion &lt;= path:tiff, import:tiff; embeddings &lt;= string:embedding, string:embedding_candidate, string:qdrant; retrieval &lt;= import:retriev, string:retriev, string:source_resolution; context &lt;= string:source_trace; serving &lt;= symbol:sse, import:sse, string:api, string:sse</x:v>
      </x:c>
    </x:row>
    <x:row r="118">
      <x:c r="A118" s="68" t="n">
        <x:v>117</x:v>
      </x:c>
      <x:c r="B118" s="69" t="str">
        <x:v>tiff/trace_net_ask_quality.py</x:v>
      </x:c>
      <x:c r="C118" s="69" t="str">
        <x:v>trace_net_ask_quality.py</x:v>
      </x:c>
      <x:c r="D118" s="69" t="str">
        <x:v>ingestion</x:v>
      </x:c>
      <x:c r="E118" s="69" t="str">
        <x:v>benchmarks</x:v>
      </x:c>
      <x:c r="F118" s="69" t="str">
        <x:v>validation</x:v>
      </x:c>
      <x:c r="G118" s="69" t="str">
        <x:v>src/trace_net/validation/</x:v>
      </x:c>
      <x:c r="H118" s="69" t="str">
        <x:v>src/trace_net/validation/trace_net_ask_quality.py</x:v>
      </x:c>
      <x:c r="I118" s="69" t="str">
        <x:v>quality validator module</x:v>
      </x:c>
      <x:c r="J118" s="69" t="str">
        <x:v>MOVE_WITH_IMPORT_UPDATES_AND_COMPATIBILITY_WRAPPER</x:v>
      </x:c>
      <x:c r="K118" s="70" t="b">
        <x:v>1</x:v>
      </x:c>
      <x:c r="L118" s="70" t="b">
        <x:v>0</x:v>
      </x:c>
      <x:c r="M118" s="70" t="b">
        <x:v>1</x:v>
      </x:c>
      <x:c r="N118" s="69" t="n">
        <x:v>2</x:v>
      </x:c>
      <x:c r="O118" s="69" t="n">
        <x:v>0</x:v>
      </x:c>
      <x:c r="P118" s="69" t="str">
        <x:v>scripts/check_trace_net_ask_quality.py; tests/unit/test_tiff_trace_net_ask_quality.py</x:v>
      </x:c>
      <x:c r="Q118" s="71" t="n">
        <x:v>0.97</x:v>
      </x:c>
      <x:c r="R118" s="69" t="str">
        <x:v>validation/quality naming</x:v>
      </x:c>
      <x:c r="S118" s="69" t="str">
        <x:v>Quality logic is reusable source code for the validation stage.</x:v>
      </x:c>
      <x:c r="T118" s="69" t="str">
        <x:v>Update test and script imports; retain the old tiff import as a thin wrapper until PASS.</x:v>
      </x:c>
      <x:c r="U118" s="69" t="str"/>
      <x:c r="V118" s="69" t="str"/>
      <x:c r="W118" s="69" t="str"/>
      <x:c r="X118" s="72" t="n">
        <x:v>10653</x:v>
      </x:c>
      <x:c r="Y118" s="70" t="b">
        <x:v>1</x:v>
      </x:c>
      <x:c r="Z118" s="69" t="str">
        <x:v>Compatibility required</x:v>
      </x:c>
      <x:c r="AA118" s="69" t="str">
        <x:v>https://github.com/jwild2027/heico-ai-internship-summer-2026/blob/srv/tiff/trace_net_ask_quality.py</x:v>
      </x:c>
      <x:c r="AB118" s="69" t="str">
        <x:v>ingestion &lt;= path:tiff; feedback &lt;= string:feedback; benchmarks &lt;= symbol:eval; referenced_by_count=1; imported_by_count=2</x:v>
      </x:c>
    </x:row>
    <x:row r="119">
      <x:c r="A119" s="68" t="n">
        <x:v>118</x:v>
      </x:c>
      <x:c r="B119" s="69" t="str">
        <x:v>tiff/trace_net_baseline_quality.py</x:v>
      </x:c>
      <x:c r="C119" s="69" t="str">
        <x:v>trace_net_baseline_quality.py</x:v>
      </x:c>
      <x:c r="D119" s="69" t="str">
        <x:v>ingestion</x:v>
      </x:c>
      <x:c r="E119" s="69" t="str"/>
      <x:c r="F119" s="69" t="str">
        <x:v>validation</x:v>
      </x:c>
      <x:c r="G119" s="69" t="str">
        <x:v>src/trace_net/validation/</x:v>
      </x:c>
      <x:c r="H119" s="69" t="str">
        <x:v>src/trace_net/validation/trace_net_baseline_quality.py</x:v>
      </x:c>
      <x:c r="I119" s="69" t="str">
        <x:v>quality validator module</x:v>
      </x:c>
      <x:c r="J119" s="69" t="str">
        <x:v>MOVE_WITH_IMPORT_UPDATES_AND_COMPATIBILITY_WRAPPER</x:v>
      </x:c>
      <x:c r="K119" s="70" t="b">
        <x:v>1</x:v>
      </x:c>
      <x:c r="L119" s="70" t="b">
        <x:v>0</x:v>
      </x:c>
      <x:c r="M119" s="70" t="b">
        <x:v>1</x:v>
      </x:c>
      <x:c r="N119" s="69" t="n">
        <x:v>2</x:v>
      </x:c>
      <x:c r="O119" s="69" t="n">
        <x:v>0</x:v>
      </x:c>
      <x:c r="P119" s="69" t="str">
        <x:v>scripts/check_trace_net_pre_algorithm_baseline_quality.py; tests/unit/test_tiff_trace_net_baseline.py</x:v>
      </x:c>
      <x:c r="Q119" s="71" t="n">
        <x:v>0.97</x:v>
      </x:c>
      <x:c r="R119" s="69" t="str">
        <x:v>validation/quality naming</x:v>
      </x:c>
      <x:c r="S119" s="69" t="str">
        <x:v>Quality logic is reusable source code for the validation stage.</x:v>
      </x:c>
      <x:c r="T119" s="69" t="str">
        <x:v>Update test and script imports; retain the old tiff import as a thin wrapper until PASS.</x:v>
      </x:c>
      <x:c r="U119" s="69" t="str"/>
      <x:c r="V119" s="69" t="str"/>
      <x:c r="W119" s="69" t="str"/>
      <x:c r="X119" s="72" t="n">
        <x:v>6144</x:v>
      </x:c>
      <x:c r="Y119" s="70" t="b">
        <x:v>1</x:v>
      </x:c>
      <x:c r="Z119" s="69" t="str">
        <x:v>Compatibility required</x:v>
      </x:c>
      <x:c r="AA119" s="69" t="str">
        <x:v>https://github.com/jwild2027/heico-ai-internship-summer-2026/blob/srv/tiff/trace_net_baseline_quality.py</x:v>
      </x:c>
      <x:c r="AB119" s="69" t="str">
        <x:v>shared &lt;= string:trust_tier; ingestion &lt;= path:tiff; ocr &lt;= string:ocr; graph &lt;= string:graph; embeddings &lt;= string:rag_candidate; referenced_by_count=1</x:v>
      </x:c>
    </x:row>
    <x:row r="120">
      <x:c r="A120" s="68" t="n">
        <x:v>119</x:v>
      </x:c>
      <x:c r="B120" s="69" t="str">
        <x:v>tiff/trace_net_callout_visual_part_verifier_v1.py</x:v>
      </x:c>
      <x:c r="C120" s="69" t="str">
        <x:v>trace_net_callout_visual_part_verifier_v1.py</x:v>
      </x:c>
      <x:c r="D120" s="69" t="str">
        <x:v>visual</x:v>
      </x:c>
      <x:c r="E120" s="69" t="str">
        <x:v>tables, ingestion</x:v>
      </x:c>
      <x:c r="F120" s="69" t="str">
        <x:v>visual</x:v>
      </x:c>
      <x:c r="G120" s="69" t="str">
        <x:v>src/trace_net/visual/</x:v>
      </x:c>
      <x:c r="H120" s="69" t="str">
        <x:v>src/trace_net/visual/trace_net_callout_visual_part_verifier_v1.py</x:v>
      </x:c>
      <x:c r="I120" s="69" t="str">
        <x:v>active library module</x:v>
      </x:c>
      <x:c r="J120" s="69" t="str">
        <x:v>MOVE_WITH_IMPORT_UPDATES_AND_COMPATIBILITY_WRAPPER</x:v>
      </x:c>
      <x:c r="K120" s="70" t="b">
        <x:v>1</x:v>
      </x:c>
      <x:c r="L120" s="70" t="b">
        <x:v>0</x:v>
      </x:c>
      <x:c r="M120" s="70" t="b">
        <x:v>1</x:v>
      </x:c>
      <x:c r="N120" s="69" t="n">
        <x:v>4</x:v>
      </x:c>
      <x:c r="O120" s="69" t="n">
        <x:v>0</x:v>
      </x:c>
      <x:c r="P120" s="69" t="str">
        <x:v>scripts/build_trace_net_callout_visual_part_verifier_v1.py; scripts/check_trace_net_callout_visual_part_verifier_v1_quality.py; tests/unit/test_trace_net_callout_visual_part_verifier_v1.py; tests/unit/test_trace_net_callout_visual_part_verifier_v1_quality.py</x:v>
      </x:c>
      <x:c r="Q120" s="71" t="n">
        <x:v>0.95</x:v>
      </x:c>
      <x:c r="R120" s="69" t="str">
        <x:v>visual/image/vision naming</x:v>
      </x:c>
      <x:c r="S120" s="69" t="str">
        <x:v>Primary implementation belongs to the visual stage based on filename, imports, and inventory evidence.</x:v>
      </x:c>
      <x:c r="T120" s="69" t="str">
        <x:v>Update imports and retain the old tiff module as a wrapper when callers exist.</x:v>
      </x:c>
      <x:c r="U120" s="69" t="str"/>
      <x:c r="V120" s="69" t="str"/>
      <x:c r="W120" s="69" t="str"/>
      <x:c r="X120" s="72" t="n">
        <x:v>43562</x:v>
      </x:c>
      <x:c r="Y120" s="70" t="b">
        <x:v>1</x:v>
      </x:c>
      <x:c r="Z120" s="69" t="str">
        <x:v>Compatibility required</x:v>
      </x:c>
      <x:c r="AA120" s="69" t="str">
        <x:v>https://github.com/jwild2027/heico-ai-internship-summer-2026/blob/srv/tiff/trace_net_callout_visual_part_verifier_v1.py</x:v>
      </x:c>
      <x:c r="AB120" s="69" t="str">
        <x:v>shared &lt;= import:contract, string:contract, string:helper, string:schema, string:trust_tier; ingestion &lt;= path:tiff, import:tiff, string:tiff; ocr &lt;= string:ocr; visual &lt;= path:callout, path:visual, symbol:callout, symbol:visual, string:callout, string:diagram, string:image_visual, string:visual; tables &lt;= symbol:table, symbol:table_row, string:table, string:table_cell, string:table_row; graph &lt;= string:graph</x:v>
      </x:c>
    </x:row>
    <x:row r="121">
      <x:c r="A121" s="68" t="n">
        <x:v>120</x:v>
      </x:c>
      <x:c r="B121" s="69" t="str">
        <x:v>tiff/trace_net_canonical_runtime_map_v1.py</x:v>
      </x:c>
      <x:c r="C121" s="69" t="str">
        <x:v>trace_net_canonical_runtime_map_v1.py</x:v>
      </x:c>
      <x:c r="D121" s="69" t="str">
        <x:v>operations</x:v>
      </x:c>
      <x:c r="E121" s="69" t="str">
        <x:v>ingestion, benchmarks</x:v>
      </x:c>
      <x:c r="F121" s="69" t="str">
        <x:v>core</x:v>
      </x:c>
      <x:c r="G121" s="69" t="str">
        <x:v>src/trace_net/core/</x:v>
      </x:c>
      <x:c r="H121" s="69" t="str">
        <x:v>src/trace_net/core/trace_net_canonical_runtime_map_v1.py</x:v>
      </x:c>
      <x:c r="I121" s="69" t="str">
        <x:v>runtime orchestration module</x:v>
      </x:c>
      <x:c r="J121" s="69" t="str">
        <x:v>MOVE_WITH_PROTECTED_COMPATIBILITY_WRAPPER</x:v>
      </x:c>
      <x:c r="K121" s="70" t="b">
        <x:v>1</x:v>
      </x:c>
      <x:c r="L121" s="70" t="b">
        <x:v>1</x:v>
      </x:c>
      <x:c r="M121" s="70" t="b">
        <x:v>1</x:v>
      </x:c>
      <x:c r="N121" s="69" t="n">
        <x:v>3</x:v>
      </x:c>
      <x:c r="O121" s="69" t="n">
        <x:v>0</x:v>
      </x:c>
      <x:c r="P121" s="69" t="str">
        <x:v>scripts/build_trace_net_canonical_runtime_map_v1.py; scripts/check_trace_net_canonical_runtime_map_v1_quality.py; tests/unit/test_trace_net_canonical_runtime_map_v1.py</x:v>
      </x:c>
      <x:c r="Q121" s="71" t="n">
        <x:v>0.96</x:v>
      </x:c>
      <x:c r="R121" s="69" t="str">
        <x:v>inventory stage: operations</x:v>
      </x:c>
      <x:c r="S121" s="69" t="str">
        <x:v>Runtime/orchestrator implementation is imported or protected.</x:v>
      </x:c>
      <x:c r="T121" s="69" t="str">
        <x:v>Preserve CLI, environment variables, and runtime chain during move.</x:v>
      </x:c>
      <x:c r="U121" s="69" t="str">
        <x:v>8014, 8020, 8021, 8023, 11434</x:v>
      </x:c>
      <x:c r="V121" s="69" t="str"/>
      <x:c r="W121" s="69" t="str"/>
      <x:c r="X121" s="72" t="n">
        <x:v>29120</x:v>
      </x:c>
      <x:c r="Y121" s="70" t="b">
        <x:v>1</x:v>
      </x:c>
      <x:c r="Z121" s="69" t="str">
        <x:v>Protected runtime</x:v>
      </x:c>
      <x:c r="AA121" s="69" t="str">
        <x:v>https://github.com/jwild2027/heico-ai-internship-summer-2026/blob/srv/tiff/trace_net_canonical_runtime_map_v1.py</x:v>
      </x:c>
      <x:c r="AB121" s="69" t="str">
        <x:v>shared &lt;= string:contract; ingestion &lt;= path:tiff, string:tiff; retrieval &lt;= string:retriev; router &lt;= string:fastpath; brain_engram &lt;= string:engram; context &lt;= string:context_bridge, string:context_pack, string:page_context, string:proof_context</x:v>
      </x:c>
    </x:row>
    <x:row r="122">
      <x:c r="A122" s="68" t="n">
        <x:v>121</x:v>
      </x:c>
      <x:c r="B122" s="69" t="str">
        <x:v>tiff/trace_net_category_aware_graph_ui_overlay_v1.py</x:v>
      </x:c>
      <x:c r="C122" s="69" t="str">
        <x:v>trace_net_category_aware_graph_ui_overlay_v1.py</x:v>
      </x:c>
      <x:c r="D122" s="69" t="str">
        <x:v>graph</x:v>
      </x:c>
      <x:c r="E122" s="69" t="str">
        <x:v>ingestion</x:v>
      </x:c>
      <x:c r="F122" s="69" t="str">
        <x:v>graph</x:v>
      </x:c>
      <x:c r="G122" s="69" t="str">
        <x:v>src/trace_net/graph/</x:v>
      </x:c>
      <x:c r="H122" s="69" t="str">
        <x:v>src/trace_net/graph/trace_net_category_aware_graph_ui_overlay_v1.py</x:v>
      </x:c>
      <x:c r="I122" s="69" t="str">
        <x:v>active library module</x:v>
      </x:c>
      <x:c r="J122" s="69" t="str">
        <x:v>MOVE_WITH_IMPORT_UPDATES_AND_COMPATIBILITY_WRAPPER</x:v>
      </x:c>
      <x:c r="K122" s="70" t="b">
        <x:v>1</x:v>
      </x:c>
      <x:c r="L122" s="70" t="b">
        <x:v>0</x:v>
      </x:c>
      <x:c r="M122" s="70" t="b">
        <x:v>1</x:v>
      </x:c>
      <x:c r="N122" s="69" t="n">
        <x:v>4</x:v>
      </x:c>
      <x:c r="O122" s="69" t="n">
        <x:v>0</x:v>
      </x:c>
      <x:c r="P122" s="69" t="str">
        <x:v>scripts/build_trace_net_category_aware_graph_ui_overlay_v1.py; scripts/check_trace_net_category_aware_graph_ui_overlay_v1_quality.py; tests/unit/test_trace_net_category_aware_graph_ui_overlay_v1.py; tests/unit/test_trace_net_category_aware_graph_ui_overlay_v1_quality.py</x:v>
      </x:c>
      <x:c r="Q122" s="71" t="n">
        <x:v>0.95</x:v>
      </x:c>
      <x:c r="R122" s="69" t="str">
        <x:v>graph/Leiden/Postgres naming</x:v>
      </x:c>
      <x:c r="S122" s="69" t="str">
        <x:v>Primary implementation belongs to the graph stage based on filename, imports, and inventory evidence.</x:v>
      </x:c>
      <x:c r="T122" s="69" t="str">
        <x:v>Update imports and retain the old tiff module as a wrapper when callers exist.</x:v>
      </x:c>
      <x:c r="U122" s="69" t="str"/>
      <x:c r="V122" s="69" t="str"/>
      <x:c r="W122" s="69" t="str"/>
      <x:c r="X122" s="72" t="n">
        <x:v>34922</x:v>
      </x:c>
      <x:c r="Y122" s="70" t="b">
        <x:v>1</x:v>
      </x:c>
      <x:c r="Z122" s="69" t="str">
        <x:v>Compatibility required</x:v>
      </x:c>
      <x:c r="AA122" s="69" t="str">
        <x:v>https://github.com/jwild2027/heico-ai-internship-summer-2026/blob/srv/tiff/trace_net_category_aware_graph_ui_overlay_v1.py</x:v>
      </x:c>
      <x:c r="AB122" s="69" t="str">
        <x:v>shared &lt;= string:contract, string:dublin_core, string:schema; ingestion &lt;= path:tiff, symbol:extract_page; tables &lt;= symbol:table; graph &lt;= path:graph, symbol:community, symbol:graph, string:community, string:graph, string:leiden; embeddings &lt;= string:qdrant; retrieval &lt;= string:opensearch, string:retriev, string:source_resolution</x:v>
      </x:c>
    </x:row>
    <x:row r="123">
      <x:c r="A123" s="68" t="n">
        <x:v>122</x:v>
      </x:c>
      <x:c r="B123" s="69" t="str">
        <x:v>tiff/trace_net_category_aware_leiden_overlay_v1.py</x:v>
      </x:c>
      <x:c r="C123" s="69" t="str">
        <x:v>trace_net_category_aware_leiden_overlay_v1.py</x:v>
      </x:c>
      <x:c r="D123" s="69" t="str">
        <x:v>graph</x:v>
      </x:c>
      <x:c r="E123" s="69" t="str"/>
      <x:c r="F123" s="69" t="str">
        <x:v>graph</x:v>
      </x:c>
      <x:c r="G123" s="69" t="str">
        <x:v>src/trace_net/graph/</x:v>
      </x:c>
      <x:c r="H123" s="69" t="str">
        <x:v>src/trace_net/graph/trace_net_category_aware_leiden_overlay_v1.py</x:v>
      </x:c>
      <x:c r="I123" s="69" t="str">
        <x:v>active library module</x:v>
      </x:c>
      <x:c r="J123" s="69" t="str">
        <x:v>MOVE_WITH_IMPORT_UPDATES_AND_COMPATIBILITY_WRAPPER</x:v>
      </x:c>
      <x:c r="K123" s="70" t="b">
        <x:v>1</x:v>
      </x:c>
      <x:c r="L123" s="70" t="b">
        <x:v>0</x:v>
      </x:c>
      <x:c r="M123" s="70" t="b">
        <x:v>1</x:v>
      </x:c>
      <x:c r="N123" s="69" t="n">
        <x:v>4</x:v>
      </x:c>
      <x:c r="O123" s="69" t="n">
        <x:v>0</x:v>
      </x:c>
      <x:c r="P123" s="69" t="str">
        <x:v>scripts/build_trace_net_category_aware_leiden_overlay_v1.py; scripts/check_trace_net_category_aware_leiden_overlay_v1_quality.py; tests/unit/test_trace_net_category_aware_leiden_overlay_v1.py; tests/unit/test_trace_net_category_aware_leiden_overlay_v1_quality.py</x:v>
      </x:c>
      <x:c r="Q123" s="71" t="n">
        <x:v>0.95</x:v>
      </x:c>
      <x:c r="R123" s="69" t="str">
        <x:v>graph/Leiden/Postgres naming</x:v>
      </x:c>
      <x:c r="S123" s="69" t="str">
        <x:v>Primary implementation belongs to the graph stage based on filename, imports, and inventory evidence.</x:v>
      </x:c>
      <x:c r="T123" s="69" t="str">
        <x:v>Update imports and retain the old tiff module as a wrapper when callers exist.</x:v>
      </x:c>
      <x:c r="U123" s="69" t="str"/>
      <x:c r="V123" s="69" t="str"/>
      <x:c r="W123" s="69" t="str"/>
      <x:c r="X123" s="72" t="n">
        <x:v>44986</x:v>
      </x:c>
      <x:c r="Y123" s="70" t="b">
        <x:v>1</x:v>
      </x:c>
      <x:c r="Z123" s="69" t="str">
        <x:v>Compatibility required</x:v>
      </x:c>
      <x:c r="AA123" s="69" t="str">
        <x:v>https://github.com/jwild2027/heico-ai-internship-summer-2026/blob/srv/tiff/trace_net_category_aware_leiden_overlay_v1.py</x:v>
      </x:c>
      <x:c r="AB123" s="69" t="str">
        <x:v>shared &lt;= string:contract, string:dublin_core, string:schema; ingestion &lt;= path:tiff; visual &lt;= string:diagram, string:visual; tables &lt;= symbol:table, string:table; graph &lt;= path:leiden, symbol:community, symbol:leiden, string:community, string:graph, string:leiden; embeddings &lt;= string:qdrant</x:v>
      </x:c>
    </x:row>
    <x:row r="124">
      <x:c r="A124" s="68" t="n">
        <x:v>123</x:v>
      </x:c>
      <x:c r="B124" s="69" t="str">
        <x:v>tiff/trace_net_citation_answer_draft_v1.py</x:v>
      </x:c>
      <x:c r="C124" s="69" t="str">
        <x:v>trace_net_citation_answer_draft_v1.py</x:v>
      </x:c>
      <x:c r="D124" s="69" t="str">
        <x:v>llm_writing</x:v>
      </x:c>
      <x:c r="E124" s="69" t="str">
        <x:v>ingestion, serving, benchmarks, retrieval</x:v>
      </x:c>
      <x:c r="F124" s="69" t="str">
        <x:v>writing</x:v>
      </x:c>
      <x:c r="G124" s="69" t="str">
        <x:v>src/trace_net/writing/</x:v>
      </x:c>
      <x:c r="H124" s="69" t="str">
        <x:v>src/trace_net/writing/trace_net_citation_answer_draft_v1.py</x:v>
      </x:c>
      <x:c r="I124" s="69" t="str">
        <x:v>active library module</x:v>
      </x:c>
      <x:c r="J124" s="69" t="str">
        <x:v>MOVE_WITH_IMPORT_UPDATES_AND_COMPATIBILITY_WRAPPER</x:v>
      </x:c>
      <x:c r="K124" s="70" t="b">
        <x:v>1</x:v>
      </x:c>
      <x:c r="L124" s="70" t="b">
        <x:v>0</x:v>
      </x:c>
      <x:c r="M124" s="70" t="b">
        <x:v>1</x:v>
      </x:c>
      <x:c r="N124" s="69" t="n">
        <x:v>2</x:v>
      </x:c>
      <x:c r="O124" s="69" t="n">
        <x:v>0</x:v>
      </x:c>
      <x:c r="P124" s="69" t="str">
        <x:v>scripts/build_trace_net_citation_answer_draft_v1.py; scripts/check_trace_net_citation_answer_draft_v1_quality.py</x:v>
      </x:c>
      <x:c r="Q124" s="71" t="n">
        <x:v>0.95</x:v>
      </x:c>
      <x:c r="R124" s="69" t="str">
        <x:v>inventory stage: llm_writing</x:v>
      </x:c>
      <x:c r="S124" s="69" t="str">
        <x:v>Primary implementation belongs to the writing stage based on filename, imports, and inventory evidence.</x:v>
      </x:c>
      <x:c r="T124" s="69" t="str">
        <x:v>Update imports and retain the old tiff module as a wrapper when callers exist.</x:v>
      </x:c>
      <x:c r="U124" s="69" t="str"/>
      <x:c r="V124" s="69" t="str"/>
      <x:c r="W124" s="69" t="str"/>
      <x:c r="X124" s="72" t="n">
        <x:v>42424</x:v>
      </x:c>
      <x:c r="Y124" s="70" t="b">
        <x:v>1</x:v>
      </x:c>
      <x:c r="Z124" s="69" t="str">
        <x:v>Compatibility required</x:v>
      </x:c>
      <x:c r="AA124" s="69" t="str">
        <x:v>https://github.com/jwild2027/heico-ai-internship-summer-2026/blob/srv/tiff/trace_net_citation_answer_draft_v1.py</x:v>
      </x:c>
      <x:c r="AB124" s="69" t="str">
        <x:v>shared &lt;= string:contract, string:helper, string:schema, string:trust_tier; ingestion &lt;= path:tiff, string:tiff; ocr &lt;= string:ocr; visual &lt;= string:visual; tables &lt;= symbol:table, string:table; embeddings &lt;= string:embedding, string:embedding_candidate</x:v>
      </x:c>
    </x:row>
    <x:row r="125">
      <x:c r="A125" s="68" t="n">
        <x:v>124</x:v>
      </x:c>
      <x:c r="B125" s="69" t="str">
        <x:v>tiff/trace_net_claim_evidence_entailment_v1.py</x:v>
      </x:c>
      <x:c r="C125" s="69" t="str">
        <x:v>trace_net_claim_evidence_entailment_v1.py</x:v>
      </x:c>
      <x:c r="D125" s="69" t="str">
        <x:v>ingestion</x:v>
      </x:c>
      <x:c r="E125" s="69" t="str">
        <x:v>shared, validation</x:v>
      </x:c>
      <x:c r="F125" s="69" t="str">
        <x:v>ingestion</x:v>
      </x:c>
      <x:c r="G125" s="69" t="str">
        <x:v>src/trace_net/ingestion/</x:v>
      </x:c>
      <x:c r="H125" s="69" t="str">
        <x:v>src/trace_net/ingestion/trace_net_claim_evidence_entailment_v1.py</x:v>
      </x:c>
      <x:c r="I125" s="69" t="str">
        <x:v>active library module</x:v>
      </x:c>
      <x:c r="J125" s="69" t="str">
        <x:v>MOVE_WITH_IMPORT_UPDATES_AND_COMPATIBILITY_WRAPPER</x:v>
      </x:c>
      <x:c r="K125" s="70" t="b">
        <x:v>1</x:v>
      </x:c>
      <x:c r="L125" s="70" t="b">
        <x:v>0</x:v>
      </x:c>
      <x:c r="M125" s="70" t="b">
        <x:v>1</x:v>
      </x:c>
      <x:c r="N125" s="69" t="n">
        <x:v>4</x:v>
      </x:c>
      <x:c r="O125" s="69" t="n">
        <x:v>0</x:v>
      </x:c>
      <x:c r="P125" s="69" t="str">
        <x:v>scripts/build_trace_net_claim_evidence_entailment_v1.py; scripts/check_trace_net_claim_evidence_entailment_v1_quality.py; tests/unit/test_trace_net_claim_evidence_entailment_v1.py; tests/unit/test_trace_net_claim_evidence_entailment_v1_quality.py</x:v>
      </x:c>
      <x:c r="Q125" s="71" t="n">
        <x:v>0.95</x:v>
      </x:c>
      <x:c r="R125" s="69" t="str">
        <x:v>inventory stage: ingestion</x:v>
      </x:c>
      <x:c r="S125" s="69" t="str">
        <x:v>Primary implementation belongs to the ingestion stage based on filename, imports, and inventory evidence.</x:v>
      </x:c>
      <x:c r="T125" s="69" t="str">
        <x:v>Update imports and retain the old tiff module as a wrapper when callers exist.</x:v>
      </x:c>
      <x:c r="U125" s="69" t="str"/>
      <x:c r="V125" s="69" t="str"/>
      <x:c r="W125" s="69" t="str"/>
      <x:c r="X125" s="72" t="n">
        <x:v>39454</x:v>
      </x:c>
      <x:c r="Y125" s="70" t="b">
        <x:v>1</x:v>
      </x:c>
      <x:c r="Z125" s="69" t="str">
        <x:v>Compatibility required</x:v>
      </x:c>
      <x:c r="AA125" s="69" t="str">
        <x:v>https://github.com/jwild2027/heico-ai-internship-summer-2026/blob/srv/tiff/trace_net_claim_evidence_entailment_v1.py</x:v>
      </x:c>
      <x:c r="AB125" s="69" t="str">
        <x:v>shared &lt;= symbol:source_id, string:contract, string:dublin_core, string:schema, string:source_id; ingestion &lt;= path:tiff, symbol:extract_page; visual &lt;= string:vision; graph &lt;= string:community; embeddings &lt;= string:qdrant; retrieval &lt;= string:opensearch, string:retriev</x:v>
      </x:c>
    </x:row>
    <x:row r="126">
      <x:c r="A126" s="68" t="n">
        <x:v>125</x:v>
      </x:c>
      <x:c r="B126" s="69" t="str">
        <x:v>tiff/trace_net_cleanup_repair.py</x:v>
      </x:c>
      <x:c r="C126" s="69" t="str">
        <x:v>trace_net_cleanup_repair.py</x:v>
      </x:c>
      <x:c r="D126" s="69" t="str">
        <x:v>operations</x:v>
      </x:c>
      <x:c r="E126" s="69" t="str">
        <x:v>ingestion, visual</x:v>
      </x:c>
      <x:c r="F126" s="69" t="str">
        <x:v>core</x:v>
      </x:c>
      <x:c r="G126" s="69" t="str">
        <x:v>src/trace_net/core/</x:v>
      </x:c>
      <x:c r="H126" s="69" t="str">
        <x:v>src/trace_net/core/trace_net_cleanup_repair.py</x:v>
      </x:c>
      <x:c r="I126" s="69" t="str">
        <x:v>active library module</x:v>
      </x:c>
      <x:c r="J126" s="69" t="str">
        <x:v>MOVE_WITH_IMPORT_UPDATES_AND_COMPATIBILITY_WRAPPER</x:v>
      </x:c>
      <x:c r="K126" s="70" t="b">
        <x:v>1</x:v>
      </x:c>
      <x:c r="L126" s="70" t="b">
        <x:v>0</x:v>
      </x:c>
      <x:c r="M126" s="70" t="b">
        <x:v>1</x:v>
      </x:c>
      <x:c r="N126" s="69" t="n">
        <x:v>4</x:v>
      </x:c>
      <x:c r="O126" s="69" t="n">
        <x:v>0</x:v>
      </x:c>
      <x:c r="P126" s="69" t="str">
        <x:v>scripts/check_trace_net_cleanup_repair_quality.py; scripts/run_trace_net_cleanup_repairs.py; tests/unit/test_tiff_trace_net_cleanup_repair.py; tests/unit/test_tiff_trace_net_cleanup_repair_quality.py</x:v>
      </x:c>
      <x:c r="Q126" s="71" t="n">
        <x:v>0.9</x:v>
      </x:c>
      <x:c r="R126" s="69" t="str">
        <x:v>shared contract/schema/adapter</x:v>
      </x:c>
      <x:c r="S126" s="69" t="str">
        <x:v>Primary implementation belongs to the core stage based on filename, imports, and inventory evidence.</x:v>
      </x:c>
      <x:c r="T126" s="69" t="str">
        <x:v>Update imports and retain the old tiff module as a wrapper when callers exist.</x:v>
      </x:c>
      <x:c r="U126" s="69" t="str"/>
      <x:c r="V126" s="69" t="str"/>
      <x:c r="W126" s="69" t="str"/>
      <x:c r="X126" s="72" t="n">
        <x:v>44671</x:v>
      </x:c>
      <x:c r="Y126" s="70" t="b">
        <x:v>1</x:v>
      </x:c>
      <x:c r="Z126" s="69" t="str">
        <x:v>Compatibility required</x:v>
      </x:c>
      <x:c r="AA126" s="69" t="str">
        <x:v>https://github.com/jwild2027/heico-ai-internship-summer-2026/blob/srv/tiff/trace_net_cleanup_repair.py</x:v>
      </x:c>
      <x:c r="AB126" s="69" t="str">
        <x:v>shared &lt;= symbol:trust_tier, string:trust_tier; ingestion &lt;= path:tiff, import:tiff; ocr &lt;= string:ocr; visual &lt;= symbol:visual, import:visual, string:callout, string:diagram, string:visual; tables &lt;= symbol:table, string:table; graph &lt;= string:graph</x:v>
      </x:c>
    </x:row>
    <x:row r="127">
      <x:c r="A127" s="68" t="n">
        <x:v>126</x:v>
      </x:c>
      <x:c r="B127" s="69" t="str">
        <x:v>tiff/trace_net_community_ablation.py</x:v>
      </x:c>
      <x:c r="C127" s="69" t="str">
        <x:v>trace_net_community_ablation.py</x:v>
      </x:c>
      <x:c r="D127" s="69" t="str">
        <x:v>graph</x:v>
      </x:c>
      <x:c r="E127" s="69" t="str">
        <x:v>ingestion</x:v>
      </x:c>
      <x:c r="F127" s="69" t="str">
        <x:v>graph</x:v>
      </x:c>
      <x:c r="G127" s="69" t="str">
        <x:v>src/trace_net/graph/</x:v>
      </x:c>
      <x:c r="H127" s="69" t="str">
        <x:v>src/trace_net/graph/trace_net_community_ablation.py</x:v>
      </x:c>
      <x:c r="I127" s="69" t="str">
        <x:v>active library module</x:v>
      </x:c>
      <x:c r="J127" s="69" t="str">
        <x:v>MOVE_WITH_IMPORT_UPDATES_AND_COMPATIBILITY_WRAPPER</x:v>
      </x:c>
      <x:c r="K127" s="70" t="b">
        <x:v>1</x:v>
      </x:c>
      <x:c r="L127" s="70" t="b">
        <x:v>0</x:v>
      </x:c>
      <x:c r="M127" s="70" t="b">
        <x:v>1</x:v>
      </x:c>
      <x:c r="N127" s="69" t="n">
        <x:v>4</x:v>
      </x:c>
      <x:c r="O127" s="69" t="n">
        <x:v>0</x:v>
      </x:c>
      <x:c r="P127" s="69" t="str">
        <x:v>scripts/check_trace_net_community_ablation_quality.py; scripts/evaluate_trace_net_communities.py; tests/unit/test_tiff_trace_net_community_ablation.py; tests/unit/test_tiff_trace_net_community_ablation_quality.py</x:v>
      </x:c>
      <x:c r="Q127" s="71" t="n">
        <x:v>0.95</x:v>
      </x:c>
      <x:c r="R127" s="69" t="str">
        <x:v>graph/Leiden/Postgres naming</x:v>
      </x:c>
      <x:c r="S127" s="69" t="str">
        <x:v>Primary implementation belongs to the graph stage based on filename, imports, and inventory evidence.</x:v>
      </x:c>
      <x:c r="T127" s="69" t="str">
        <x:v>Update imports and retain the old tiff module as a wrapper when callers exist.</x:v>
      </x:c>
      <x:c r="U127" s="69" t="str"/>
      <x:c r="V127" s="69" t="str"/>
      <x:c r="W127" s="69" t="str"/>
      <x:c r="X127" s="72" t="n">
        <x:v>45432</x:v>
      </x:c>
      <x:c r="Y127" s="70" t="b">
        <x:v>1</x:v>
      </x:c>
      <x:c r="Z127" s="69" t="str">
        <x:v>Compatibility required</x:v>
      </x:c>
      <x:c r="AA127" s="69" t="str">
        <x:v>https://github.com/jwild2027/heico-ai-internship-summer-2026/blob/srv/tiff/trace_net_community_ablation.py</x:v>
      </x:c>
      <x:c r="AB127" s="69" t="str">
        <x:v>shared &lt;= string:source_id, string:trust_tier; ingestion &lt;= path:tiff, symbol:extract_page; tables &lt;= symbol:table, string:table; graph &lt;= path:community, symbol:community, symbol:graph, symbol:leiden, import:community, import:graph, import:leiden, string:community; retrieval &lt;= string:retriev; serving &lt;= symbol:endpoint, import:sse</x:v>
      </x:c>
    </x:row>
    <x:row r="128">
      <x:c r="A128" s="68" t="n">
        <x:v>127</x:v>
      </x:c>
      <x:c r="B128" s="69" t="str">
        <x:v>tiff/trace_net_community_aware_retrieval_sim_v1.py</x:v>
      </x:c>
      <x:c r="C128" s="69" t="str">
        <x:v>trace_net_community_aware_retrieval_sim_v1.py</x:v>
      </x:c>
      <x:c r="D128" s="69" t="str">
        <x:v>graph</x:v>
      </x:c>
      <x:c r="E128" s="69" t="str">
        <x:v>benchmarks, retrieval, feedback, ingestion</x:v>
      </x:c>
      <x:c r="F128" s="69" t="str">
        <x:v>graph</x:v>
      </x:c>
      <x:c r="G128" s="69" t="str">
        <x:v>src/trace_net/graph/</x:v>
      </x:c>
      <x:c r="H128" s="69" t="str">
        <x:v>src/trace_net/graph/trace_net_community_aware_retrieval_sim_v1.py</x:v>
      </x:c>
      <x:c r="I128" s="69" t="str">
        <x:v>active library module</x:v>
      </x:c>
      <x:c r="J128" s="69" t="str">
        <x:v>MOVE_WITH_IMPORT_UPDATES_AND_COMPATIBILITY_WRAPPER</x:v>
      </x:c>
      <x:c r="K128" s="70" t="b">
        <x:v>1</x:v>
      </x:c>
      <x:c r="L128" s="70" t="b">
        <x:v>0</x:v>
      </x:c>
      <x:c r="M128" s="70" t="b">
        <x:v>1</x:v>
      </x:c>
      <x:c r="N128" s="69" t="n">
        <x:v>4</x:v>
      </x:c>
      <x:c r="O128" s="69" t="n">
        <x:v>0</x:v>
      </x:c>
      <x:c r="P128" s="69" t="str">
        <x:v>scripts/check_trace_net_community_aware_retrieval_sim_v1_quality.py; scripts/run_trace_net_community_aware_retrieval_sim_v1.py; tests/unit/test_trace_net_community_aware_retrieval_sim_v1.py; tests/unit/test_trace_net_community_aware_retrieval_sim_v1_quality.py</x:v>
      </x:c>
      <x:c r="Q128" s="71" t="n">
        <x:v>0.95</x:v>
      </x:c>
      <x:c r="R128" s="69" t="str">
        <x:v>graph/Leiden/Postgres naming</x:v>
      </x:c>
      <x:c r="S128" s="69" t="str">
        <x:v>Primary implementation belongs to the graph stage based on filename, imports, and inventory evidence.</x:v>
      </x:c>
      <x:c r="T128" s="69" t="str">
        <x:v>Update imports and retain the old tiff module as a wrapper when callers exist.</x:v>
      </x:c>
      <x:c r="U128" s="69" t="str"/>
      <x:c r="V128" s="69" t="str"/>
      <x:c r="W128" s="69" t="str"/>
      <x:c r="X128" s="72" t="n">
        <x:v>45785</x:v>
      </x:c>
      <x:c r="Y128" s="70" t="b">
        <x:v>1</x:v>
      </x:c>
      <x:c r="Z128" s="69" t="str">
        <x:v>Compatibility required</x:v>
      </x:c>
      <x:c r="AA128" s="69" t="str">
        <x:v>https://github.com/jwild2027/heico-ai-internship-summer-2026/blob/srv/tiff/trace_net_community_aware_retrieval_sim_v1.py</x:v>
      </x:c>
      <x:c r="AB128" s="69" t="str">
        <x:v>shared &lt;= string:helper, string:schema; ingestion &lt;= path:tiff, string:convert; visual &lt;= string:vision; tables &lt;= symbol:table, string:table; graph &lt;= path:community, symbol:community, string:community, string:graph, string:leiden; embeddings &lt;= string:qdrant</x:v>
      </x:c>
    </x:row>
    <x:row r="129">
      <x:c r="A129" s="68" t="n">
        <x:v>128</x:v>
      </x:c>
      <x:c r="B129" s="69" t="str">
        <x:v>tiff/trace_net_community_aware_retrieval_v2.py</x:v>
      </x:c>
      <x:c r="C129" s="69" t="str">
        <x:v>trace_net_community_aware_retrieval_v2.py</x:v>
      </x:c>
      <x:c r="D129" s="69" t="str">
        <x:v>graph</x:v>
      </x:c>
      <x:c r="E129" s="69" t="str">
        <x:v>benchmarks, retrieval, ingestion</x:v>
      </x:c>
      <x:c r="F129" s="69" t="str">
        <x:v>graph</x:v>
      </x:c>
      <x:c r="G129" s="69" t="str">
        <x:v>src/trace_net/graph/</x:v>
      </x:c>
      <x:c r="H129" s="69" t="str">
        <x:v>src/trace_net/graph/trace_net_community_aware_retrieval_v2.py</x:v>
      </x:c>
      <x:c r="I129" s="69" t="str">
        <x:v>active library module</x:v>
      </x:c>
      <x:c r="J129" s="69" t="str">
        <x:v>MOVE_WITH_IMPORT_UPDATES_AND_COMPATIBILITY_WRAPPER</x:v>
      </x:c>
      <x:c r="K129" s="70" t="b">
        <x:v>1</x:v>
      </x:c>
      <x:c r="L129" s="70" t="b">
        <x:v>0</x:v>
      </x:c>
      <x:c r="M129" s="70" t="b">
        <x:v>1</x:v>
      </x:c>
      <x:c r="N129" s="69" t="n">
        <x:v>5</x:v>
      </x:c>
      <x:c r="O129" s="69" t="n">
        <x:v>0</x:v>
      </x:c>
      <x:c r="P129" s="69" t="str">
        <x:v>scripts/build_trace_net_community_aware_retrieval_v2.py; scripts/check_trace_net_community_aware_retrieval_v2_quality.py; tests/unit/test_trace_net_community_aware_retrieval_v2.py; tests/unit/test_trace_net_community_aware_retrieval_v2_quality.py; tests/unit/test_trace_net_community_aware_retrieval_v2_script_imports.py</x:v>
      </x:c>
      <x:c r="Q129" s="71" t="n">
        <x:v>0.95</x:v>
      </x:c>
      <x:c r="R129" s="69" t="str">
        <x:v>graph/Leiden/Postgres naming</x:v>
      </x:c>
      <x:c r="S129" s="69" t="str">
        <x:v>Primary implementation belongs to the graph stage based on filename, imports, and inventory evidence.</x:v>
      </x:c>
      <x:c r="T129" s="69" t="str">
        <x:v>Update imports and retain the old tiff module as a wrapper when callers exist.</x:v>
      </x:c>
      <x:c r="U129" s="69" t="str"/>
      <x:c r="V129" s="69" t="str"/>
      <x:c r="W129" s="69" t="str"/>
      <x:c r="X129" s="72" t="n">
        <x:v>33267</x:v>
      </x:c>
      <x:c r="Y129" s="70" t="b">
        <x:v>1</x:v>
      </x:c>
      <x:c r="Z129" s="69" t="str">
        <x:v>Compatibility required</x:v>
      </x:c>
      <x:c r="AA129" s="69" t="str">
        <x:v>https://github.com/jwild2027/heico-ai-internship-summer-2026/blob/srv/tiff/trace_net_community_aware_retrieval_v2.py</x:v>
      </x:c>
      <x:c r="AB129" s="69" t="str">
        <x:v>shared &lt;= symbol:common, string:schema; ingestion &lt;= path:tiff, string:convert; visual &lt;= string:visual; tables &lt;= symbol:table, string:table; graph &lt;= path:community, symbol:community, string:community, string:leiden; embeddings &lt;= string:qdrant</x:v>
      </x:c>
    </x:row>
    <x:row r="130">
      <x:c r="A130" s="68" t="n">
        <x:v>129</x:v>
      </x:c>
      <x:c r="B130" s="69" t="str">
        <x:v>tiff/trace_net_confidence_stage2.py</x:v>
      </x:c>
      <x:c r="C130" s="69" t="str">
        <x:v>trace_net_confidence_stage2.py</x:v>
      </x:c>
      <x:c r="D130" s="69" t="str">
        <x:v>ingestion</x:v>
      </x:c>
      <x:c r="E130" s="69" t="str">
        <x:v>benchmarks</x:v>
      </x:c>
      <x:c r="F130" s="69" t="str">
        <x:v>ingestion</x:v>
      </x:c>
      <x:c r="G130" s="69" t="str">
        <x:v>src/trace_net/ingestion/</x:v>
      </x:c>
      <x:c r="H130" s="69" t="str">
        <x:v>src/trace_net/ingestion/trace_net_confidence_stage2.py</x:v>
      </x:c>
      <x:c r="I130" s="69" t="str">
        <x:v>active library module</x:v>
      </x:c>
      <x:c r="J130" s="69" t="str">
        <x:v>MOVE_WITH_IMPORT_UPDATES_AND_COMPATIBILITY_WRAPPER</x:v>
      </x:c>
      <x:c r="K130" s="70" t="b">
        <x:v>1</x:v>
      </x:c>
      <x:c r="L130" s="70" t="b">
        <x:v>0</x:v>
      </x:c>
      <x:c r="M130" s="70" t="b">
        <x:v>1</x:v>
      </x:c>
      <x:c r="N130" s="69" t="n">
        <x:v>2</x:v>
      </x:c>
      <x:c r="O130" s="69" t="n">
        <x:v>0</x:v>
      </x:c>
      <x:c r="P130" s="69" t="str">
        <x:v>scripts/evaluate_trace_net_confidence_stage2.py; tests/unit/test_tiff_trace_net_confidence_stage2.py</x:v>
      </x:c>
      <x:c r="Q130" s="71" t="n">
        <x:v>0.95</x:v>
      </x:c>
      <x:c r="R130" s="69" t="str">
        <x:v>inventory stage: ingestion</x:v>
      </x:c>
      <x:c r="S130" s="69" t="str">
        <x:v>Primary implementation belongs to the ingestion stage based on filename, imports, and inventory evidence.</x:v>
      </x:c>
      <x:c r="T130" s="69" t="str">
        <x:v>Update imports and retain the old tiff module as a wrapper when callers exist.</x:v>
      </x:c>
      <x:c r="U130" s="69" t="str"/>
      <x:c r="V130" s="69" t="str"/>
      <x:c r="W130" s="69" t="str"/>
      <x:c r="X130" s="72" t="n">
        <x:v>22590</x:v>
      </x:c>
      <x:c r="Y130" s="70" t="b">
        <x:v>1</x:v>
      </x:c>
      <x:c r="Z130" s="69" t="str">
        <x:v>Compatibility required</x:v>
      </x:c>
      <x:c r="AA130" s="69" t="str">
        <x:v>https://github.com/jwild2027/heico-ai-internship-summer-2026/blob/srv/tiff/trace_net_confidence_stage2.py</x:v>
      </x:c>
      <x:c r="AB130" s="69" t="str">
        <x:v>shared &lt;= string:trust_tier; ingestion &lt;= path:tiff; tables &lt;= string:column; router &lt;= string:routing; context &lt;= string:source_trace; validation &lt;= string:consensus</x:v>
      </x:c>
    </x:row>
    <x:row r="131">
      <x:c r="A131" s="68" t="n">
        <x:v>130</x:v>
      </x:c>
      <x:c r="B131" s="69" t="str">
        <x:v>tiff/trace_net_confidence_stage2_quality.py</x:v>
      </x:c>
      <x:c r="C131" s="69" t="str">
        <x:v>trace_net_confidence_stage2_quality.py</x:v>
      </x:c>
      <x:c r="D131" s="69" t="str">
        <x:v>ingestion</x:v>
      </x:c>
      <x:c r="E131" s="69" t="str">
        <x:v>benchmarks</x:v>
      </x:c>
      <x:c r="F131" s="69" t="str">
        <x:v>validation</x:v>
      </x:c>
      <x:c r="G131" s="69" t="str">
        <x:v>src/trace_net/validation/</x:v>
      </x:c>
      <x:c r="H131" s="69" t="str">
        <x:v>src/trace_net/validation/trace_net_confidence_stage2_quality.py</x:v>
      </x:c>
      <x:c r="I131" s="69" t="str">
        <x:v>quality validator module</x:v>
      </x:c>
      <x:c r="J131" s="69" t="str">
        <x:v>MOVE_WITH_IMPORT_UPDATES_AND_COMPATIBILITY_WRAPPER</x:v>
      </x:c>
      <x:c r="K131" s="70" t="b">
        <x:v>1</x:v>
      </x:c>
      <x:c r="L131" s="70" t="b">
        <x:v>0</x:v>
      </x:c>
      <x:c r="M131" s="70" t="b">
        <x:v>1</x:v>
      </x:c>
      <x:c r="N131" s="69" t="n">
        <x:v>2</x:v>
      </x:c>
      <x:c r="O131" s="69" t="n">
        <x:v>0</x:v>
      </x:c>
      <x:c r="P131" s="69" t="str">
        <x:v>scripts/check_trace_net_confidence_stage2_quality.py; tests/unit/test_tiff_trace_net_confidence_stage2_quality.py</x:v>
      </x:c>
      <x:c r="Q131" s="71" t="n">
        <x:v>0.97</x:v>
      </x:c>
      <x:c r="R131" s="69" t="str">
        <x:v>validation/quality naming</x:v>
      </x:c>
      <x:c r="S131" s="69" t="str">
        <x:v>Quality logic is reusable source code for the validation stage.</x:v>
      </x:c>
      <x:c r="T131" s="69" t="str">
        <x:v>Update test and script imports; retain the old tiff import as a thin wrapper until PASS.</x:v>
      </x:c>
      <x:c r="U131" s="69" t="str"/>
      <x:c r="V131" s="69" t="str"/>
      <x:c r="W131" s="69" t="str"/>
      <x:c r="X131" s="72" t="n">
        <x:v>5980</x:v>
      </x:c>
      <x:c r="Y131" s="70" t="b">
        <x:v>1</x:v>
      </x:c>
      <x:c r="Z131" s="69" t="str">
        <x:v>Compatibility required</x:v>
      </x:c>
      <x:c r="AA131" s="69" t="str">
        <x:v>https://github.com/jwild2027/heico-ai-internship-summer-2026/blob/srv/tiff/trace_net_confidence_stage2_quality.py</x:v>
      </x:c>
      <x:c r="AB131" s="69" t="str">
        <x:v>ingestion &lt;= path:tiff; context &lt;= string:source_trace; serving &lt;= import:sse; benchmarks &lt;= string:eval, string:evaluation; referenced_by_count=1; imported_by_count=2</x:v>
      </x:c>
    </x:row>
    <x:row r="132">
      <x:c r="A132" s="68" t="n">
        <x:v>131</x:v>
      </x:c>
      <x:c r="B132" s="69" t="str">
        <x:v>tiff/trace_net_confidence_stage3_policy.py</x:v>
      </x:c>
      <x:c r="C132" s="69" t="str">
        <x:v>trace_net_confidence_stage3_policy.py</x:v>
      </x:c>
      <x:c r="D132" s="69" t="str">
        <x:v>ingestion</x:v>
      </x:c>
      <x:c r="E132" s="69" t="str">
        <x:v>visual, tables, context</x:v>
      </x:c>
      <x:c r="F132" s="69" t="str">
        <x:v>ingestion</x:v>
      </x:c>
      <x:c r="G132" s="69" t="str">
        <x:v>src/trace_net/ingestion/</x:v>
      </x:c>
      <x:c r="H132" s="69" t="str">
        <x:v>src/trace_net/ingestion/trace_net_confidence_stage3_policy.py</x:v>
      </x:c>
      <x:c r="I132" s="69" t="str">
        <x:v>active library module</x:v>
      </x:c>
      <x:c r="J132" s="69" t="str">
        <x:v>MOVE_WITH_IMPORT_UPDATES_AND_COMPATIBILITY_WRAPPER</x:v>
      </x:c>
      <x:c r="K132" s="70" t="b">
        <x:v>1</x:v>
      </x:c>
      <x:c r="L132" s="70" t="b">
        <x:v>0</x:v>
      </x:c>
      <x:c r="M132" s="70" t="b">
        <x:v>1</x:v>
      </x:c>
      <x:c r="N132" s="69" t="n">
        <x:v>4</x:v>
      </x:c>
      <x:c r="O132" s="69" t="n">
        <x:v>0</x:v>
      </x:c>
      <x:c r="P132" s="69" t="str">
        <x:v>scripts/build_trace_net_confidence_policy.py; tests/unit/test_tiff_trace_net_confidence_stage3_policy.py; tests/unit/test_tiff_trace_net_confidence_stage3_quality.py; tiff/trace_net_confidence_stage3_quality.py</x:v>
      </x:c>
      <x:c r="Q132" s="71" t="n">
        <x:v>0.95</x:v>
      </x:c>
      <x:c r="R132" s="69" t="str">
        <x:v>inventory stage: ingestion</x:v>
      </x:c>
      <x:c r="S132" s="69" t="str">
        <x:v>Primary implementation belongs to the ingestion stage based on filename, imports, and inventory evidence.</x:v>
      </x:c>
      <x:c r="T132" s="69" t="str">
        <x:v>Update imports and retain the old tiff module as a wrapper when callers exist.</x:v>
      </x:c>
      <x:c r="U132" s="69" t="str"/>
      <x:c r="V132" s="69" t="str"/>
      <x:c r="W132" s="69" t="str"/>
      <x:c r="X132" s="72" t="n">
        <x:v>24663</x:v>
      </x:c>
      <x:c r="Y132" s="70" t="b">
        <x:v>1</x:v>
      </x:c>
      <x:c r="Z132" s="69" t="str">
        <x:v>Compatibility required</x:v>
      </x:c>
      <x:c r="AA132" s="69" t="str">
        <x:v>https://github.com/jwild2027/heico-ai-internship-summer-2026/blob/srv/tiff/trace_net_confidence_stage3_policy.py</x:v>
      </x:c>
      <x:c r="AB132" s="69" t="str">
        <x:v>ingestion &lt;= path:tiff, string:preprocess, string:tiff; ocr &lt;= string:ocr; visual &lt;= symbol:visual, string:vision, string:visual; tables &lt;= symbol:table, string:table; graph &lt;= string:community, string:graph; retrieval &lt;= string:retriev</x:v>
      </x:c>
    </x:row>
    <x:row r="133">
      <x:c r="A133" s="68" t="n">
        <x:v>132</x:v>
      </x:c>
      <x:c r="B133" s="69" t="str">
        <x:v>tiff/trace_net_confidence_stage3_quality.py</x:v>
      </x:c>
      <x:c r="C133" s="69" t="str">
        <x:v>trace_net_confidence_stage3_quality.py</x:v>
      </x:c>
      <x:c r="D133" s="69" t="str">
        <x:v>ingestion</x:v>
      </x:c>
      <x:c r="E133" s="69" t="str"/>
      <x:c r="F133" s="69" t="str">
        <x:v>validation</x:v>
      </x:c>
      <x:c r="G133" s="69" t="str">
        <x:v>src/trace_net/validation/</x:v>
      </x:c>
      <x:c r="H133" s="69" t="str">
        <x:v>src/trace_net/validation/trace_net_confidence_stage3_quality.py</x:v>
      </x:c>
      <x:c r="I133" s="69" t="str">
        <x:v>quality validator module</x:v>
      </x:c>
      <x:c r="J133" s="69" t="str">
        <x:v>MOVE_WITH_IMPORT_UPDATES_AND_COMPATIBILITY_WRAPPER</x:v>
      </x:c>
      <x:c r="K133" s="70" t="b">
        <x:v>1</x:v>
      </x:c>
      <x:c r="L133" s="70" t="b">
        <x:v>0</x:v>
      </x:c>
      <x:c r="M133" s="70" t="b">
        <x:v>1</x:v>
      </x:c>
      <x:c r="N133" s="69" t="n">
        <x:v>2</x:v>
      </x:c>
      <x:c r="O133" s="69" t="n">
        <x:v>0</x:v>
      </x:c>
      <x:c r="P133" s="69" t="str">
        <x:v>scripts/check_trace_net_confidence_policy_quality.py; tests/unit/test_tiff_trace_net_confidence_stage3_quality.py</x:v>
      </x:c>
      <x:c r="Q133" s="71" t="n">
        <x:v>0.97</x:v>
      </x:c>
      <x:c r="R133" s="69" t="str">
        <x:v>validation/quality naming</x:v>
      </x:c>
      <x:c r="S133" s="69" t="str">
        <x:v>Quality logic is reusable source code for the validation stage.</x:v>
      </x:c>
      <x:c r="T133" s="69" t="str">
        <x:v>Update test and script imports; retain the old tiff import as a thin wrapper until PASS.</x:v>
      </x:c>
      <x:c r="U133" s="69" t="str"/>
      <x:c r="V133" s="69" t="str"/>
      <x:c r="W133" s="69" t="str"/>
      <x:c r="X133" s="72" t="n">
        <x:v>10290</x:v>
      </x:c>
      <x:c r="Y133" s="70" t="b">
        <x:v>1</x:v>
      </x:c>
      <x:c r="Z133" s="69" t="str">
        <x:v>Compatibility required</x:v>
      </x:c>
      <x:c r="AA133" s="69" t="str">
        <x:v>https://github.com/jwild2027/heico-ai-internship-summer-2026/blob/srv/tiff/trace_net_confidence_stage3_quality.py</x:v>
      </x:c>
      <x:c r="AB133" s="69" t="str">
        <x:v>shared &lt;= string:trust_tier; ingestion &lt;= path:tiff, import:tiff, string:tiff; visual &lt;= string:visual; tables &lt;= string:table; router &lt;= string:routing; context &lt;= string:source_trace</x:v>
      </x:c>
    </x:row>
    <x:row r="134">
      <x:c r="A134" s="68" t="n">
        <x:v>133</x:v>
      </x:c>
      <x:c r="B134" s="69" t="str">
        <x:v>tiff/trace_net_confidence_stage4_quality.py</x:v>
      </x:c>
      <x:c r="C134" s="69" t="str">
        <x:v>trace_net_confidence_stage4_quality.py</x:v>
      </x:c>
      <x:c r="D134" s="69" t="str">
        <x:v>ingestion</x:v>
      </x:c>
      <x:c r="E134" s="69" t="str"/>
      <x:c r="F134" s="69" t="str">
        <x:v>validation</x:v>
      </x:c>
      <x:c r="G134" s="69" t="str">
        <x:v>src/trace_net/validation/</x:v>
      </x:c>
      <x:c r="H134" s="69" t="str">
        <x:v>src/trace_net/validation/trace_net_confidence_stage4_quality.py</x:v>
      </x:c>
      <x:c r="I134" s="69" t="str">
        <x:v>quality validator module</x:v>
      </x:c>
      <x:c r="J134" s="69" t="str">
        <x:v>MOVE_WITH_IMPORT_UPDATES_AND_COMPATIBILITY_WRAPPER</x:v>
      </x:c>
      <x:c r="K134" s="70" t="b">
        <x:v>1</x:v>
      </x:c>
      <x:c r="L134" s="70" t="b">
        <x:v>0</x:v>
      </x:c>
      <x:c r="M134" s="70" t="b">
        <x:v>1</x:v>
      </x:c>
      <x:c r="N134" s="69" t="n">
        <x:v>2</x:v>
      </x:c>
      <x:c r="O134" s="69" t="n">
        <x:v>0</x:v>
      </x:c>
      <x:c r="P134" s="69" t="str">
        <x:v>scripts/check_trace_net_confidence_stage4_quality.py; tests/unit/test_tiff_trace_net_confidence_stage4_quality.py</x:v>
      </x:c>
      <x:c r="Q134" s="71" t="n">
        <x:v>0.97</x:v>
      </x:c>
      <x:c r="R134" s="69" t="str">
        <x:v>validation/quality naming</x:v>
      </x:c>
      <x:c r="S134" s="69" t="str">
        <x:v>Quality logic is reusable source code for the validation stage.</x:v>
      </x:c>
      <x:c r="T134" s="69" t="str">
        <x:v>Update test and script imports; retain the old tiff import as a thin wrapper until PASS.</x:v>
      </x:c>
      <x:c r="U134" s="69" t="str"/>
      <x:c r="V134" s="69" t="str"/>
      <x:c r="W134" s="69" t="str"/>
      <x:c r="X134" s="72" t="n">
        <x:v>9110</x:v>
      </x:c>
      <x:c r="Y134" s="70" t="b">
        <x:v>1</x:v>
      </x:c>
      <x:c r="Z134" s="69" t="str">
        <x:v>Compatibility required</x:v>
      </x:c>
      <x:c r="AA134" s="69" t="str">
        <x:v>https://github.com/jwild2027/heico-ai-internship-summer-2026/blob/srv/tiff/trace_net_confidence_stage4_quality.py</x:v>
      </x:c>
      <x:c r="AB134" s="69" t="str">
        <x:v>shared &lt;= string:trust_tier; ingestion &lt;= path:tiff, import:tiff; visual &lt;= string:visual; tables &lt;= string:table; context &lt;= string:source_trace; serving &lt;= import:sse</x:v>
      </x:c>
    </x:row>
    <x:row r="135">
      <x:c r="A135" s="68" t="n">
        <x:v>134</x:v>
      </x:c>
      <x:c r="B135" s="69" t="str">
        <x:v>tiff/trace_net_confidence_stage4_simulation.py</x:v>
      </x:c>
      <x:c r="C135" s="69" t="str">
        <x:v>trace_net_confidence_stage4_simulation.py</x:v>
      </x:c>
      <x:c r="D135" s="69" t="str">
        <x:v>ingestion</x:v>
      </x:c>
      <x:c r="E135" s="69" t="str">
        <x:v>graph</x:v>
      </x:c>
      <x:c r="F135" s="69" t="str">
        <x:v>ingestion</x:v>
      </x:c>
      <x:c r="G135" s="69" t="str">
        <x:v>src/trace_net/ingestion/</x:v>
      </x:c>
      <x:c r="H135" s="69" t="str">
        <x:v>src/trace_net/ingestion/trace_net_confidence_stage4_simulation.py</x:v>
      </x:c>
      <x:c r="I135" s="69" t="str">
        <x:v>active library module</x:v>
      </x:c>
      <x:c r="J135" s="69" t="str">
        <x:v>MOVE_WITH_IMPORT_UPDATES_AND_COMPATIBILITY_WRAPPER</x:v>
      </x:c>
      <x:c r="K135" s="70" t="b">
        <x:v>1</x:v>
      </x:c>
      <x:c r="L135" s="70" t="b">
        <x:v>0</x:v>
      </x:c>
      <x:c r="M135" s="70" t="b">
        <x:v>1</x:v>
      </x:c>
      <x:c r="N135" s="69" t="n">
        <x:v>3</x:v>
      </x:c>
      <x:c r="O135" s="69" t="n">
        <x:v>0</x:v>
      </x:c>
      <x:c r="P135" s="69" t="str">
        <x:v>scripts/simulate_trace_net_confidence_policy.py; tests/unit/test_tiff_trace_net_confidence_stage4.py; tiff/trace_net_confidence_stage4_quality.py</x:v>
      </x:c>
      <x:c r="Q135" s="71" t="n">
        <x:v>0.95</x:v>
      </x:c>
      <x:c r="R135" s="69" t="str">
        <x:v>inventory stage: ingestion</x:v>
      </x:c>
      <x:c r="S135" s="69" t="str">
        <x:v>Primary implementation belongs to the ingestion stage based on filename, imports, and inventory evidence.</x:v>
      </x:c>
      <x:c r="T135" s="69" t="str">
        <x:v>Update imports and retain the old tiff module as a wrapper when callers exist.</x:v>
      </x:c>
      <x:c r="U135" s="69" t="str"/>
      <x:c r="V135" s="69" t="str"/>
      <x:c r="W135" s="69" t="str"/>
      <x:c r="X135" s="72" t="n">
        <x:v>29474</x:v>
      </x:c>
      <x:c r="Y135" s="70" t="b">
        <x:v>1</x:v>
      </x:c>
      <x:c r="Z135" s="69" t="str">
        <x:v>Compatibility required</x:v>
      </x:c>
      <x:c r="AA135" s="69" t="str">
        <x:v>https://github.com/jwild2027/heico-ai-internship-summer-2026/blob/srv/tiff/trace_net_confidence_stage4_simulation.py</x:v>
      </x:c>
      <x:c r="AB135" s="69" t="str">
        <x:v>shared &lt;= string:trust_tier; ingestion &lt;= path:tiff; ocr &lt;= string:ocr; visual &lt;= string:visual; tables &lt;= string:table; graph &lt;= symbol:graph, string:graph</x:v>
      </x:c>
    </x:row>
    <x:row r="136">
      <x:c r="A136" s="68" t="n">
        <x:v>135</x:v>
      </x:c>
      <x:c r="B136" s="69" t="str">
        <x:v>tiff/trace_net_confidence_stage5_control.py</x:v>
      </x:c>
      <x:c r="C136" s="69" t="str">
        <x:v>trace_net_confidence_stage5_control.py</x:v>
      </x:c>
      <x:c r="D136" s="69" t="str">
        <x:v>ingestion</x:v>
      </x:c>
      <x:c r="E136" s="69" t="str">
        <x:v>graph</x:v>
      </x:c>
      <x:c r="F136" s="69" t="str">
        <x:v>ingestion</x:v>
      </x:c>
      <x:c r="G136" s="69" t="str">
        <x:v>src/trace_net/ingestion/</x:v>
      </x:c>
      <x:c r="H136" s="69" t="str">
        <x:v>src/trace_net/ingestion/trace_net_confidence_stage5_control.py</x:v>
      </x:c>
      <x:c r="I136" s="69" t="str">
        <x:v>active library module</x:v>
      </x:c>
      <x:c r="J136" s="69" t="str">
        <x:v>MOVE_WITH_IMPORT_UPDATES_AND_COMPATIBILITY_WRAPPER</x:v>
      </x:c>
      <x:c r="K136" s="70" t="b">
        <x:v>1</x:v>
      </x:c>
      <x:c r="L136" s="70" t="b">
        <x:v>0</x:v>
      </x:c>
      <x:c r="M136" s="70" t="b">
        <x:v>1</x:v>
      </x:c>
      <x:c r="N136" s="69" t="n">
        <x:v>4</x:v>
      </x:c>
      <x:c r="O136" s="69" t="n">
        <x:v>0</x:v>
      </x:c>
      <x:c r="P136" s="69" t="str">
        <x:v>scripts/build_trace_net_confidence_policy_control.py; scripts/build_trace_net_confidence_stage5_control.py; tests/unit/test_tiff_trace_net_confidence_stage5.py; tests/unit/test_tiff_trace_net_confidence_stage5_control.py</x:v>
      </x:c>
      <x:c r="Q136" s="71" t="n">
        <x:v>0.95</x:v>
      </x:c>
      <x:c r="R136" s="69" t="str">
        <x:v>inventory stage: ingestion</x:v>
      </x:c>
      <x:c r="S136" s="69" t="str">
        <x:v>Primary implementation belongs to the ingestion stage based on filename, imports, and inventory evidence.</x:v>
      </x:c>
      <x:c r="T136" s="69" t="str">
        <x:v>Update imports and retain the old tiff module as a wrapper when callers exist.</x:v>
      </x:c>
      <x:c r="U136" s="69" t="str"/>
      <x:c r="V136" s="69" t="str"/>
      <x:c r="W136" s="69" t="str"/>
      <x:c r="X136" s="72" t="n">
        <x:v>34809</x:v>
      </x:c>
      <x:c r="Y136" s="70" t="b">
        <x:v>1</x:v>
      </x:c>
      <x:c r="Z136" s="69" t="str">
        <x:v>Compatibility required</x:v>
      </x:c>
      <x:c r="AA136" s="69" t="str">
        <x:v>https://github.com/jwild2027/heico-ai-internship-summer-2026/blob/srv/tiff/trace_net_confidence_stage5_control.py</x:v>
      </x:c>
      <x:c r="AB136" s="69" t="str">
        <x:v>shared &lt;= string:trust_tier; ingestion &lt;= path:tiff; visual &lt;= string:visual; tables &lt;= string:table; graph &lt;= symbol:graph, string:graph; router &lt;= string:routing</x:v>
      </x:c>
    </x:row>
    <x:row r="137">
      <x:c r="A137" s="68" t="n">
        <x:v>136</x:v>
      </x:c>
      <x:c r="B137" s="69" t="str">
        <x:v>tiff/trace_net_confidence_stage5_quality.py</x:v>
      </x:c>
      <x:c r="C137" s="69" t="str">
        <x:v>trace_net_confidence_stage5_quality.py</x:v>
      </x:c>
      <x:c r="D137" s="69" t="str">
        <x:v>ingestion</x:v>
      </x:c>
      <x:c r="E137" s="69" t="str"/>
      <x:c r="F137" s="69" t="str">
        <x:v>validation</x:v>
      </x:c>
      <x:c r="G137" s="69" t="str">
        <x:v>src/trace_net/validation/</x:v>
      </x:c>
      <x:c r="H137" s="69" t="str">
        <x:v>src/trace_net/validation/trace_net_confidence_stage5_quality.py</x:v>
      </x:c>
      <x:c r="I137" s="69" t="str">
        <x:v>quality validator module</x:v>
      </x:c>
      <x:c r="J137" s="69" t="str">
        <x:v>MOVE_WITH_IMPORT_UPDATES_AND_COMPATIBILITY_WRAPPER</x:v>
      </x:c>
      <x:c r="K137" s="70" t="b">
        <x:v>1</x:v>
      </x:c>
      <x:c r="L137" s="70" t="b">
        <x:v>0</x:v>
      </x:c>
      <x:c r="M137" s="70" t="b">
        <x:v>1</x:v>
      </x:c>
      <x:c r="N137" s="69" t="n">
        <x:v>2</x:v>
      </x:c>
      <x:c r="O137" s="69" t="n">
        <x:v>0</x:v>
      </x:c>
      <x:c r="P137" s="69" t="str">
        <x:v>scripts/check_trace_net_confidence_stage5_quality.py; tests/unit/test_tiff_trace_net_confidence_stage5_quality.py</x:v>
      </x:c>
      <x:c r="Q137" s="71" t="n">
        <x:v>0.97</x:v>
      </x:c>
      <x:c r="R137" s="69" t="str">
        <x:v>validation/quality naming</x:v>
      </x:c>
      <x:c r="S137" s="69" t="str">
        <x:v>Quality logic is reusable source code for the validation stage.</x:v>
      </x:c>
      <x:c r="T137" s="69" t="str">
        <x:v>Update test and script imports; retain the old tiff import as a thin wrapper until PASS.</x:v>
      </x:c>
      <x:c r="U137" s="69" t="str"/>
      <x:c r="V137" s="69" t="str"/>
      <x:c r="W137" s="69" t="str"/>
      <x:c r="X137" s="72" t="n">
        <x:v>13916</x:v>
      </x:c>
      <x:c r="Y137" s="70" t="b">
        <x:v>1</x:v>
      </x:c>
      <x:c r="Z137" s="69" t="str">
        <x:v>Compatibility required</x:v>
      </x:c>
      <x:c r="AA137" s="69" t="str">
        <x:v>https://github.com/jwild2027/heico-ai-internship-summer-2026/blob/srv/tiff/trace_net_confidence_stage5_quality.py</x:v>
      </x:c>
      <x:c r="AB137" s="69" t="str">
        <x:v>ingestion &lt;= path:tiff; visual &lt;= string:visual; tables &lt;= string:table; router &lt;= string:routing; context &lt;= string:source_trace; serving &lt;= import:sse</x:v>
      </x:c>
    </x:row>
    <x:row r="138">
      <x:c r="A138" s="68" t="n">
        <x:v>137</x:v>
      </x:c>
      <x:c r="B138" s="69" t="str">
        <x:v>tiff/trace_net_context_retrieval_helper_v1.py</x:v>
      </x:c>
      <x:c r="C138" s="69" t="str">
        <x:v>trace_net_context_retrieval_helper_v1.py</x:v>
      </x:c>
      <x:c r="D138" s="69" t="str">
        <x:v>shared</x:v>
      </x:c>
      <x:c r="E138" s="69" t="str">
        <x:v>retrieval, benchmarks, ingestion, tables</x:v>
      </x:c>
      <x:c r="F138" s="69" t="str">
        <x:v>retrieval</x:v>
      </x:c>
      <x:c r="G138" s="69" t="str">
        <x:v>src/trace_net/retrieval/</x:v>
      </x:c>
      <x:c r="H138" s="69" t="str">
        <x:v>src/trace_net/retrieval/trace_net_context_retrieval_helper_v1.py</x:v>
      </x:c>
      <x:c r="I138" s="69" t="str">
        <x:v>active library module</x:v>
      </x:c>
      <x:c r="J138" s="69" t="str">
        <x:v>MOVE_WITH_IMPORT_UPDATES_AND_COMPATIBILITY_WRAPPER</x:v>
      </x:c>
      <x:c r="K138" s="70" t="b">
        <x:v>1</x:v>
      </x:c>
      <x:c r="L138" s="70" t="b">
        <x:v>0</x:v>
      </x:c>
      <x:c r="M138" s="70" t="b">
        <x:v>1</x:v>
      </x:c>
      <x:c r="N138" s="69" t="n">
        <x:v>4</x:v>
      </x:c>
      <x:c r="O138" s="69" t="n">
        <x:v>0</x:v>
      </x:c>
      <x:c r="P138" s="69" t="str">
        <x:v>scripts/build_trace_net_context_retrieval_helpers_v1.py; scripts/check_trace_net_context_retrieval_helpers_v1_quality.py; tests/unit/test_trace_net_context_retrieval_helper_v1.py; tests/unit/test_trace_net_context_retrieval_helper_v1_quality.py</x:v>
      </x:c>
      <x:c r="Q138" s="71" t="n">
        <x:v>0.95</x:v>
      </x:c>
      <x:c r="R138" s="69" t="str">
        <x:v>retrieval/search naming</x:v>
      </x:c>
      <x:c r="S138" s="69" t="str">
        <x:v>Primary implementation belongs to the retrieval stage based on filename, imports, and inventory evidence.</x:v>
      </x:c>
      <x:c r="T138" s="69" t="str">
        <x:v>Update imports and retain the old tiff module as a wrapper when callers exist.</x:v>
      </x:c>
      <x:c r="U138" s="69" t="str"/>
      <x:c r="V138" s="69" t="str">
        <x:v>TRACE_NET_DATABASE_URL</x:v>
      </x:c>
      <x:c r="W138" s="69" t="str"/>
      <x:c r="X138" s="72" t="n">
        <x:v>45003</x:v>
      </x:c>
      <x:c r="Y138" s="70" t="b">
        <x:v>1</x:v>
      </x:c>
      <x:c r="Z138" s="69" t="str">
        <x:v>Compatibility required</x:v>
      </x:c>
      <x:c r="AA138" s="69" t="str">
        <x:v>https://github.com/jwild2027/heico-ai-internship-summer-2026/blob/srv/tiff/trace_net_context_retrieval_helper_v1.py</x:v>
      </x:c>
      <x:c r="AB138" s="69" t="str">
        <x:v>shared &lt;= path:helper, symbol:helper, import:contract, string:helper, string:schema, string:trust_tier; ingestion &lt;= path:tiff, symbol:extract_page, import:tiff, string:convert; tables &lt;= symbol:column, symbol:table, string:table; graph &lt;= string:graph; embeddings &lt;= string:embedding, string:embedding_candidate; retrieval &lt;= path:retriev, symbol:retriev, symbol:tunnel, string:candidate_discovery, string:retriev, string:source_resolution, string:tunnel</x:v>
      </x:c>
    </x:row>
    <x:row r="139">
      <x:c r="A139" s="68" t="n">
        <x:v>138</x:v>
      </x:c>
      <x:c r="B139" s="69" t="str">
        <x:v>tiff/trace_net_corrective_retrieval_planner_v1.py</x:v>
      </x:c>
      <x:c r="C139" s="69" t="str">
        <x:v>trace_net_corrective_retrieval_planner_v1.py</x:v>
      </x:c>
      <x:c r="D139" s="69" t="str">
        <x:v>benchmarks</x:v>
      </x:c>
      <x:c r="E139" s="69" t="str">
        <x:v>retrieval, ingestion</x:v>
      </x:c>
      <x:c r="F139" s="69" t="str">
        <x:v>retrieval</x:v>
      </x:c>
      <x:c r="G139" s="69" t="str">
        <x:v>src/trace_net/retrieval/</x:v>
      </x:c>
      <x:c r="H139" s="69" t="str">
        <x:v>src/trace_net/retrieval/trace_net_corrective_retrieval_planner_v1.py</x:v>
      </x:c>
      <x:c r="I139" s="69" t="str">
        <x:v>active library module</x:v>
      </x:c>
      <x:c r="J139" s="69" t="str">
        <x:v>MOVE_WITH_IMPORT_UPDATES_AND_COMPATIBILITY_WRAPPER</x:v>
      </x:c>
      <x:c r="K139" s="70" t="b">
        <x:v>1</x:v>
      </x:c>
      <x:c r="L139" s="70" t="b">
        <x:v>0</x:v>
      </x:c>
      <x:c r="M139" s="70" t="b">
        <x:v>1</x:v>
      </x:c>
      <x:c r="N139" s="69" t="n">
        <x:v>5</x:v>
      </x:c>
      <x:c r="O139" s="69" t="n">
        <x:v>0</x:v>
      </x:c>
      <x:c r="P139" s="69" t="str">
        <x:v>scripts/build_trace_net_corrective_retrieval_planner_v1.py; scripts/check_trace_net_corrective_retrieval_planner_v1_quality.py; tests/unit/test_trace_net_corrective_retrieval_planner_v1.py; tests/unit/test_trace_net_corrective_retrieval_planner_v1_qdrant_quality_fix.py; tests/unit/test_trace_net_corrective_retrieval_planner_v1_quality.py</x:v>
      </x:c>
      <x:c r="Q139" s="71" t="n">
        <x:v>0.95</x:v>
      </x:c>
      <x:c r="R139" s="69" t="str">
        <x:v>retrieval/search naming</x:v>
      </x:c>
      <x:c r="S139" s="69" t="str">
        <x:v>Primary implementation belongs to the retrieval stage based on filename, imports, and inventory evidence.</x:v>
      </x:c>
      <x:c r="T139" s="69" t="str">
        <x:v>Update imports and retain the old tiff module as a wrapper when callers exist.</x:v>
      </x:c>
      <x:c r="U139" s="69" t="str"/>
      <x:c r="V139" s="69" t="str"/>
      <x:c r="W139" s="69" t="str"/>
      <x:c r="X139" s="72" t="n">
        <x:v>44222</x:v>
      </x:c>
      <x:c r="Y139" s="70" t="b">
        <x:v>1</x:v>
      </x:c>
      <x:c r="Z139" s="69" t="str">
        <x:v>Compatibility required</x:v>
      </x:c>
      <x:c r="AA139" s="69" t="str">
        <x:v>https://github.com/jwild2027/heico-ai-internship-summer-2026/blob/srv/tiff/trace_net_corrective_retrieval_planner_v1.py</x:v>
      </x:c>
      <x:c r="AB139" s="69" t="str">
        <x:v>shared &lt;= symbol:contract, string:contract, string:schema; ingestion &lt;= path:tiff, symbol:tiff, string:tiff; visual &lt;= string:visual; graph &lt;= symbol:graph, string:community, string:graph; embeddings &lt;= symbol:qdrant, string:qdrant; retrieval &lt;= path:retriev, symbol:retriev, string:opensearch, string:retriev</x:v>
      </x:c>
    </x:row>
    <x:row r="140">
      <x:c r="A140" s="68" t="n">
        <x:v>139</x:v>
      </x:c>
      <x:c r="B140" s="69" t="str">
        <x:v>tiff/trace_net_dry_run_loader_planner_v1.py</x:v>
      </x:c>
      <x:c r="C140" s="69" t="str">
        <x:v>trace_net_dry_run_loader_planner_v1.py</x:v>
      </x:c>
      <x:c r="D140" s="69" t="str">
        <x:v>operations</x:v>
      </x:c>
      <x:c r="E140" s="69" t="str">
        <x:v>ingestion, benchmarks</x:v>
      </x:c>
      <x:c r="F140" s="69" t="str">
        <x:v>core</x:v>
      </x:c>
      <x:c r="G140" s="69" t="str">
        <x:v>src/trace_net/core/</x:v>
      </x:c>
      <x:c r="H140" s="69" t="str">
        <x:v>src/trace_net/core/trace_net_dry_run_loader_planner_v1.py</x:v>
      </x:c>
      <x:c r="I140" s="69" t="str">
        <x:v>data/storage integration module</x:v>
      </x:c>
      <x:c r="J140" s="69" t="str">
        <x:v>MOVE_WITH_IMPORT_UPDATES_AND_COMPATIBILITY_WRAPPER</x:v>
      </x:c>
      <x:c r="K140" s="70" t="b">
        <x:v>1</x:v>
      </x:c>
      <x:c r="L140" s="70" t="b">
        <x:v>0</x:v>
      </x:c>
      <x:c r="M140" s="70" t="b">
        <x:v>1</x:v>
      </x:c>
      <x:c r="N140" s="69" t="n">
        <x:v>4</x:v>
      </x:c>
      <x:c r="O140" s="69" t="n">
        <x:v>0</x:v>
      </x:c>
      <x:c r="P140" s="69" t="str">
        <x:v>scripts/build_trace_net_dry_run_loader_planner_v1.py; scripts/check_trace_net_dry_run_loader_planner_v1_quality.py; tests/unit/test_trace_net_dry_run_loader_planner_v1.py; tests/unit/test_trace_net_dry_run_loader_planner_v1_quality.py</x:v>
      </x:c>
      <x:c r="Q140" s="71" t="n">
        <x:v>0.95</x:v>
      </x:c>
      <x:c r="R140" s="69" t="str">
        <x:v>inventory stage: operations</x:v>
      </x:c>
      <x:c r="S140" s="69" t="str">
        <x:v>Loader/writeback logic is imported by active scripts or tests.</x:v>
      </x:c>
      <x:c r="T140" s="69" t="str">
        <x:v>Preserve lineage, dry-run defaults, and source-truth mutation gates.</x:v>
      </x:c>
      <x:c r="U140" s="69" t="str"/>
      <x:c r="V140" s="69" t="str">
        <x:v>TRACE_NET_DRY_RUN_LOADER_PLANNER_BUILT</x:v>
      </x:c>
      <x:c r="W140" s="69" t="str"/>
      <x:c r="X140" s="72" t="n">
        <x:v>23597</x:v>
      </x:c>
      <x:c r="Y140" s="70" t="b">
        <x:v>1</x:v>
      </x:c>
      <x:c r="Z140" s="69" t="str">
        <x:v>Compatibility required</x:v>
      </x:c>
      <x:c r="AA140" s="69" t="str">
        <x:v>https://github.com/jwild2027/heico-ai-internship-summer-2026/blob/srv/tiff/trace_net_dry_run_loader_planner_v1.py</x:v>
      </x:c>
      <x:c r="AB140" s="69" t="str">
        <x:v>ingestion &lt;= path:tiff, string:tiff; tables &lt;= string:table; graph &lt;= string:graph; embeddings &lt;= symbol:qdrant, string:embedding, string:qdrant; retrieval &lt;= symbol:opensearch, string:opensearch, string:retriev; context &lt;= string:source_trace</x:v>
      </x:c>
    </x:row>
    <x:row r="141">
      <x:c r="A141" s="68" t="n">
        <x:v>140</x:v>
      </x:c>
      <x:c r="B141" s="69" t="str">
        <x:v>tiff/trace_net_dublin_core_crosswalk_refinement_v1.py</x:v>
      </x:c>
      <x:c r="C141" s="69" t="str">
        <x:v>trace_net_dublin_core_crosswalk_refinement_v1.py</x:v>
      </x:c>
      <x:c r="D141" s="69" t="str">
        <x:v>shared</x:v>
      </x:c>
      <x:c r="E141" s="69" t="str">
        <x:v>tables</x:v>
      </x:c>
      <x:c r="F141" s="69" t="str">
        <x:v>core</x:v>
      </x:c>
      <x:c r="G141" s="69" t="str">
        <x:v>src/trace_net/core/</x:v>
      </x:c>
      <x:c r="H141" s="69" t="str">
        <x:v>src/trace_net/core/trace_net_dublin_core_crosswalk_refinement_v1.py</x:v>
      </x:c>
      <x:c r="I141" s="69" t="str">
        <x:v>active library module</x:v>
      </x:c>
      <x:c r="J141" s="69" t="str">
        <x:v>MOVE_WITH_IMPORT_UPDATES_AND_COMPATIBILITY_WRAPPER</x:v>
      </x:c>
      <x:c r="K141" s="70" t="b">
        <x:v>1</x:v>
      </x:c>
      <x:c r="L141" s="70" t="b">
        <x:v>0</x:v>
      </x:c>
      <x:c r="M141" s="70" t="b">
        <x:v>1</x:v>
      </x:c>
      <x:c r="N141" s="69" t="n">
        <x:v>4</x:v>
      </x:c>
      <x:c r="O141" s="69" t="n">
        <x:v>0</x:v>
      </x:c>
      <x:c r="P141" s="69" t="str">
        <x:v>scripts/build_trace_net_dublin_core_crosswalk_refinement_v1.py; scripts/check_trace_net_dublin_core_crosswalk_refinement_v1_quality.py; tests/unit/test_trace_net_dublin_core_crosswalk_refinement_v1.py; tests/unit/test_trace_net_dublin_core_crosswalk_refinement_v1_quality.py</x:v>
      </x:c>
      <x:c r="Q141" s="71" t="n">
        <x:v>0.9</x:v>
      </x:c>
      <x:c r="R141" s="69" t="str">
        <x:v>shared contract/schema/adapter</x:v>
      </x:c>
      <x:c r="S141" s="69" t="str">
        <x:v>Primary implementation belongs to the core stage based on filename, imports, and inventory evidence.</x:v>
      </x:c>
      <x:c r="T141" s="69" t="str">
        <x:v>Update imports and retain the old tiff module as a wrapper when callers exist.</x:v>
      </x:c>
      <x:c r="U141" s="69" t="str"/>
      <x:c r="V141" s="69" t="str"/>
      <x:c r="W141" s="69" t="str"/>
      <x:c r="X141" s="72" t="n">
        <x:v>35410</x:v>
      </x:c>
      <x:c r="Y141" s="70" t="b">
        <x:v>1</x:v>
      </x:c>
      <x:c r="Z141" s="69" t="str">
        <x:v>Compatibility required</x:v>
      </x:c>
      <x:c r="AA141" s="69" t="str">
        <x:v>https://github.com/jwild2027/heico-ai-internship-summer-2026/blob/srv/tiff/trace_net_dublin_core_crosswalk_refinement_v1.py</x:v>
      </x:c>
      <x:c r="AB141" s="69" t="str">
        <x:v>shared &lt;= path:dublin_core, string:contract, string:dublin_core, string:helper, string:schema; ingestion &lt;= path:tiff; ocr &lt;= string:fishnet, string:ocr; visual &lt;= string:callout, string:visual, string:visual_region, string:visual_understanding; tables &lt;= symbol:table, string:table, string:table_cell, string:table_row; graph &lt;= symbol:graph, string:community, string:graph</x:v>
      </x:c>
    </x:row>
    <x:row r="142">
      <x:c r="A142" s="68" t="n">
        <x:v>141</x:v>
      </x:c>
      <x:c r="B142" s="69" t="str">
        <x:v>tiff/trace_net_dublin_core_crosswalk_v1.py</x:v>
      </x:c>
      <x:c r="C142" s="69" t="str">
        <x:v>trace_net_dublin_core_crosswalk_v1.py</x:v>
      </x:c>
      <x:c r="D142" s="69" t="str">
        <x:v>shared</x:v>
      </x:c>
      <x:c r="E142" s="69" t="str">
        <x:v>graph, visual, ingestion, tables</x:v>
      </x:c>
      <x:c r="F142" s="69" t="str">
        <x:v>core</x:v>
      </x:c>
      <x:c r="G142" s="69" t="str">
        <x:v>src/trace_net/core/</x:v>
      </x:c>
      <x:c r="H142" s="69" t="str">
        <x:v>src/trace_net/core/trace_net_dublin_core_crosswalk_v1.py</x:v>
      </x:c>
      <x:c r="I142" s="69" t="str">
        <x:v>active library module</x:v>
      </x:c>
      <x:c r="J142" s="69" t="str">
        <x:v>MOVE_WITH_IMPORT_UPDATES_AND_COMPATIBILITY_WRAPPER</x:v>
      </x:c>
      <x:c r="K142" s="70" t="b">
        <x:v>1</x:v>
      </x:c>
      <x:c r="L142" s="70" t="b">
        <x:v>0</x:v>
      </x:c>
      <x:c r="M142" s="70" t="b">
        <x:v>1</x:v>
      </x:c>
      <x:c r="N142" s="69" t="n">
        <x:v>4</x:v>
      </x:c>
      <x:c r="O142" s="69" t="n">
        <x:v>0</x:v>
      </x:c>
      <x:c r="P142" s="69" t="str">
        <x:v>scripts/build_trace_net_dublin_core_crosswalk_v1.py; scripts/check_trace_net_dublin_core_crosswalk_v1_quality.py; tests/unit/test_trace_net_dublin_core_crosswalk_v1.py; tests/unit/test_trace_net_dublin_core_crosswalk_v1_quality.py</x:v>
      </x:c>
      <x:c r="Q142" s="71" t="n">
        <x:v>0.9</x:v>
      </x:c>
      <x:c r="R142" s="69" t="str">
        <x:v>shared contract/schema/adapter</x:v>
      </x:c>
      <x:c r="S142" s="69" t="str">
        <x:v>Primary implementation belongs to the core stage based on filename, imports, and inventory evidence.</x:v>
      </x:c>
      <x:c r="T142" s="69" t="str">
        <x:v>Update imports and retain the old tiff module as a wrapper when callers exist.</x:v>
      </x:c>
      <x:c r="U142" s="69" t="str"/>
      <x:c r="V142" s="69" t="str"/>
      <x:c r="W142" s="69" t="str"/>
      <x:c r="X142" s="72" t="n">
        <x:v>51950</x:v>
      </x:c>
      <x:c r="Y142" s="70" t="b">
        <x:v>1</x:v>
      </x:c>
      <x:c r="Z142" s="69" t="str">
        <x:v>Compatibility required</x:v>
      </x:c>
      <x:c r="AA142" s="69" t="str">
        <x:v>https://github.com/jwild2027/heico-ai-internship-summer-2026/blob/srv/tiff/trace_net_dublin_core_crosswalk_v1.py</x:v>
      </x:c>
      <x:c r="AB142" s="69" t="str">
        <x:v>shared &lt;= path:dublin_core, string:contract, string:dublin_core, string:helper, string:identifier; ingestion &lt;= path:tiff, string:tiff; ocr &lt;= string:fishnet, string:ocr; visual &lt;= symbol:visual, string:callout, string:visual, string:visual_region, string:visual_understanding; tables &lt;= symbol:table, string:table, string:table_cell, string:table_row; graph &lt;= symbol:graph, symbol:leiden, string:community, string:graph</x:v>
      </x:c>
    </x:row>
    <x:row r="143">
      <x:c r="A143" s="68" t="n">
        <x:v>142</x:v>
      </x:c>
      <x:c r="B143" s="69" t="str">
        <x:v>tiff/trace_net_dublin_core_source_package_extension_v1.py</x:v>
      </x:c>
      <x:c r="C143" s="69" t="str">
        <x:v>trace_net_dublin_core_source_package_extension_v1.py</x:v>
      </x:c>
      <x:c r="D143" s="69" t="str">
        <x:v>shared</x:v>
      </x:c>
      <x:c r="E143" s="69" t="str">
        <x:v>ingestion</x:v>
      </x:c>
      <x:c r="F143" s="69" t="str">
        <x:v>core</x:v>
      </x:c>
      <x:c r="G143" s="69" t="str">
        <x:v>src/trace_net/core/</x:v>
      </x:c>
      <x:c r="H143" s="69" t="str">
        <x:v>src/trace_net/core/trace_net_dublin_core_source_package_extension_v1.py</x:v>
      </x:c>
      <x:c r="I143" s="69" t="str">
        <x:v>active library module</x:v>
      </x:c>
      <x:c r="J143" s="69" t="str">
        <x:v>MOVE_WITH_IMPORT_UPDATES_AND_COMPATIBILITY_WRAPPER</x:v>
      </x:c>
      <x:c r="K143" s="70" t="b">
        <x:v>1</x:v>
      </x:c>
      <x:c r="L143" s="70" t="b">
        <x:v>0</x:v>
      </x:c>
      <x:c r="M143" s="70" t="b">
        <x:v>1</x:v>
      </x:c>
      <x:c r="N143" s="69" t="n">
        <x:v>4</x:v>
      </x:c>
      <x:c r="O143" s="69" t="n">
        <x:v>0</x:v>
      </x:c>
      <x:c r="P143" s="69" t="str">
        <x:v>scripts/build_trace_net_dublin_core_source_package_extension_v1.py; scripts/check_trace_net_dublin_core_source_package_extension_v1_quality.py; tests/unit/test_trace_net_dublin_core_source_package_extension_v1.py; tests/unit/test_trace_net_dublin_core_source_package_extension_v1_quality.py</x:v>
      </x:c>
      <x:c r="Q143" s="71" t="n">
        <x:v>0.9</x:v>
      </x:c>
      <x:c r="R143" s="69" t="str">
        <x:v>shared contract/schema/adapter</x:v>
      </x:c>
      <x:c r="S143" s="69" t="str">
        <x:v>Primary implementation belongs to the core stage based on filename, imports, and inventory evidence.</x:v>
      </x:c>
      <x:c r="T143" s="69" t="str">
        <x:v>Update imports and retain the old tiff module as a wrapper when callers exist.</x:v>
      </x:c>
      <x:c r="U143" s="69" t="str"/>
      <x:c r="V143" s="69" t="str"/>
      <x:c r="W143" s="69" t="str"/>
      <x:c r="X143" s="72" t="n">
        <x:v>35272</x:v>
      </x:c>
      <x:c r="Y143" s="70" t="b">
        <x:v>1</x:v>
      </x:c>
      <x:c r="Z143" s="69" t="str">
        <x:v>Compatibility required</x:v>
      </x:c>
      <x:c r="AA143" s="69" t="str">
        <x:v>https://github.com/jwild2027/heico-ai-internship-summer-2026/blob/srv/tiff/trace_net_dublin_core_source_package_extension_v1.py</x:v>
      </x:c>
      <x:c r="AB143" s="69" t="str">
        <x:v>shared &lt;= path:dublin_core, symbol:dublin_core, string:dublin_core, string:identifier, string:schema; ingestion &lt;= path:tiff, string:tiff; graph &lt;= string:graph; embeddings &lt;= string:qdrant; retrieval &lt;= string:opensearch; context &lt;= string:source_trace</x:v>
      </x:c>
    </x:row>
    <x:row r="144">
      <x:c r="A144" s="68" t="n">
        <x:v>143</x:v>
      </x:c>
      <x:c r="B144" s="69" t="str">
        <x:v>tiff/trace_net_dynamic_final_gate_execution_v1.py</x:v>
      </x:c>
      <x:c r="C144" s="69" t="str">
        <x:v>trace_net_dynamic_final_gate_execution_v1.py</x:v>
      </x:c>
      <x:c r="D144" s="69" t="str">
        <x:v>benchmarks</x:v>
      </x:c>
      <x:c r="E144" s="69" t="str">
        <x:v>tables, ingestion, llm_writing</x:v>
      </x:c>
      <x:c r="F144" s="69" t="str">
        <x:v>validation</x:v>
      </x:c>
      <x:c r="G144" s="69" t="str">
        <x:v>src/trace_net/validation/</x:v>
      </x:c>
      <x:c r="H144" s="69" t="str">
        <x:v>src/trace_net/validation/trace_net_dynamic_final_gate_execution_v1.py</x:v>
      </x:c>
      <x:c r="I144" s="69" t="str">
        <x:v>runtime validation/gating module</x:v>
      </x:c>
      <x:c r="J144" s="69" t="str">
        <x:v>MOVE_WITH_IMPORT_UPDATES_AND_COMPATIBILITY_WRAPPER</x:v>
      </x:c>
      <x:c r="K144" s="70" t="b">
        <x:v>1</x:v>
      </x:c>
      <x:c r="L144" s="70" t="b">
        <x:v>0</x:v>
      </x:c>
      <x:c r="M144" s="70" t="b">
        <x:v>1</x:v>
      </x:c>
      <x:c r="N144" s="69" t="n">
        <x:v>4</x:v>
      </x:c>
      <x:c r="O144" s="69" t="n">
        <x:v>0</x:v>
      </x:c>
      <x:c r="P144" s="69" t="str">
        <x:v>scripts/build_trace_net_dynamic_final_gate_execution_v1.py; scripts/check_trace_net_dynamic_final_gate_execution_v1_quality.py; tests/unit/test_trace_net_dynamic_final_gate_execution_v1.py; tests/unit/test_trace_net_dynamic_final_gate_execution_v1_quality.py</x:v>
      </x:c>
      <x:c r="Q144" s="71" t="n">
        <x:v>0.96</x:v>
      </x:c>
      <x:c r="R144" s="69" t="str">
        <x:v>validation/quality naming</x:v>
      </x:c>
      <x:c r="S144" s="69" t="str">
        <x:v>Implements a runtime gate, critic, hardener, or evidence sufficiency check.</x:v>
      </x:c>
      <x:c r="T144" s="69" t="str">
        <x:v>Preserve gating semantics and old import path until focused tests pass.</x:v>
      </x:c>
      <x:c r="U144" s="69" t="str"/>
      <x:c r="V144" s="69" t="str"/>
      <x:c r="W144" s="69" t="str"/>
      <x:c r="X144" s="72" t="n">
        <x:v>40393</x:v>
      </x:c>
      <x:c r="Y144" s="70" t="b">
        <x:v>1</x:v>
      </x:c>
      <x:c r="Z144" s="69" t="str">
        <x:v>Compatibility required</x:v>
      </x:c>
      <x:c r="AA144" s="69" t="str">
        <x:v>https://github.com/jwild2027/heico-ai-internship-summer-2026/blob/srv/tiff/trace_net_dynamic_final_gate_execution_v1.py</x:v>
      </x:c>
      <x:c r="AB144" s="69" t="str">
        <x:v>shared &lt;= string:contract, string:helper, string:schema; ingestion &lt;= path:tiff; ocr &lt;= string:ocr; visual &lt;= string:visual; tables &lt;= symbol:table, string:table, string:table_cell, string:table_row; graph &lt;= string:community, string:graph, string:relationship</x:v>
      </x:c>
    </x:row>
    <x:row r="145">
      <x:c r="A145" s="68" t="n">
        <x:v>144</x:v>
      </x:c>
      <x:c r="B145" s="69" t="str">
        <x:v>tiff/trace_net_e2e_api_wrapper_smoke_v1.py</x:v>
      </x:c>
      <x:c r="C145" s="69" t="str">
        <x:v>trace_net_e2e_api_wrapper_smoke_v1.py</x:v>
      </x:c>
      <x:c r="D145" s="69" t="str">
        <x:v>serving</x:v>
      </x:c>
      <x:c r="E145" s="69" t="str">
        <x:v>benchmarks</x:v>
      </x:c>
      <x:c r="F145" s="69" t="str">
        <x:v>serving</x:v>
      </x:c>
      <x:c r="G145" s="69" t="str">
        <x:v>src/trace_net/serving/</x:v>
      </x:c>
      <x:c r="H145" s="69" t="str">
        <x:v>src/trace_net/serving/trace_net_e2e_api_wrapper_smoke_v1.py</x:v>
      </x:c>
      <x:c r="I145" s="69" t="str">
        <x:v>serving/runtime module</x:v>
      </x:c>
      <x:c r="J145" s="69" t="str">
        <x:v>MOVE_WITH_PROTECTED_COMPATIBILITY_WRAPPER</x:v>
      </x:c>
      <x:c r="K145" s="70" t="b">
        <x:v>1</x:v>
      </x:c>
      <x:c r="L145" s="70" t="b">
        <x:v>0</x:v>
      </x:c>
      <x:c r="M145" s="70" t="b">
        <x:v>1</x:v>
      </x:c>
      <x:c r="N145" s="69" t="n">
        <x:v>3</x:v>
      </x:c>
      <x:c r="O145" s="69" t="n">
        <x:v>1</x:v>
      </x:c>
      <x:c r="P145" s="69" t="str">
        <x:v>scripts/build_trace_net_e2e_api_wrapper_smoke_v1.py; scripts/check_trace_net_e2e_api_wrapper_smoke_v1_quality.py; tests/unit/test_trace_net_e2e_api_wrapper_smoke_v1.py; tiff/trace_net_e2e_codebase_checklist_v1.py</x:v>
      </x:c>
      <x:c r="Q145" s="71" t="n">
        <x:v>0.98</x:v>
      </x:c>
      <x:c r="R145" s="69" t="str">
        <x:v>serving/API naming</x:v>
      </x:c>
      <x:c r="S145" s="69" t="str">
        <x:v>API, endpoint, server, bridge, or console implementation used by runtime callers.</x:v>
      </x:c>
      <x:c r="T145" s="69" t="str">
        <x:v>Old entrypoint must remain callable; verify relevant ports and OpenWebUI behavior.</x:v>
      </x:c>
      <x:c r="U145" s="69" t="str"/>
      <x:c r="V145" s="69" t="str"/>
      <x:c r="W145" s="69" t="str"/>
      <x:c r="X145" s="72" t="n">
        <x:v>22714</x:v>
      </x:c>
      <x:c r="Y145" s="70" t="b">
        <x:v>1</x:v>
      </x:c>
      <x:c r="Z145" s="69" t="str">
        <x:v>Compatibility required</x:v>
      </x:c>
      <x:c r="AA145" s="69" t="str">
        <x:v>https://github.com/jwild2027/heico-ai-internship-summer-2026/blob/srv/tiff/trace_net_e2e_api_wrapper_smoke_v1.py</x:v>
      </x:c>
      <x:c r="AB145" s="69" t="str">
        <x:v>shared &lt;= symbol:common, string:common, string:contract, string:schema; ingestion &lt;= path:tiff; embeddings &lt;= string:qdrant; retrieval &lt;= string:opensearch, string:retriev; serving &lt;= path:api, symbol:api, import:sse, string:api, string:endpoint, string:http, string:open_webui; benchmarks &lt;= path:smoke, symbol:eval, symbol:smoke, string:eval, string:smoke</x:v>
      </x:c>
    </x:row>
    <x:row r="146">
      <x:c r="A146" s="68" t="n">
        <x:v>145</x:v>
      </x:c>
      <x:c r="B146" s="69" t="str">
        <x:v>tiff/trace_net_e2e_calibrated_cascade_route_brain_v35_3.py</x:v>
      </x:c>
      <x:c r="C146" s="69" t="str">
        <x:v>trace_net_e2e_calibrated_cascade_route_brain_v35_3.py</x:v>
      </x:c>
      <x:c r="D146" s="69" t="str">
        <x:v>brain_engram</x:v>
      </x:c>
      <x:c r="E146" s="69" t="str">
        <x:v>ingestion, visual, benchmarks</x:v>
      </x:c>
      <x:c r="F146" s="69" t="str">
        <x:v>router</x:v>
      </x:c>
      <x:c r="G146" s="69" t="str">
        <x:v>src/trace_net/router/</x:v>
      </x:c>
      <x:c r="H146" s="69" t="str">
        <x:v>src/trace_net/router/trace_net_e2e_calibrated_cascade_route_brain_v35_3.py</x:v>
      </x:c>
      <x:c r="I146" s="69" t="str">
        <x:v>active library module</x:v>
      </x:c>
      <x:c r="J146" s="69" t="str">
        <x:v>MOVE_WITH_IMPORT_UPDATES_AND_COMPATIBILITY_WRAPPER</x:v>
      </x:c>
      <x:c r="K146" s="70" t="b">
        <x:v>1</x:v>
      </x:c>
      <x:c r="L146" s="70" t="b">
        <x:v>0</x:v>
      </x:c>
      <x:c r="M146" s="70" t="b">
        <x:v>1</x:v>
      </x:c>
      <x:c r="N146" s="69" t="n">
        <x:v>2</x:v>
      </x:c>
      <x:c r="O146" s="69" t="n">
        <x:v>0</x:v>
      </x:c>
      <x:c r="P146" s="69" t="str">
        <x:v>scripts/build_trace_net_e2e_calibrated_cascade_route_brain_v35_3.py; tests/unit/test_trace_net_e2e_calibrated_cascade_route_brain_v35_3.py</x:v>
      </x:c>
      <x:c r="Q146" s="71" t="n">
        <x:v>0.95</x:v>
      </x:c>
      <x:c r="R146" s="69" t="str">
        <x:v>router/route naming</x:v>
      </x:c>
      <x:c r="S146" s="69" t="str">
        <x:v>Primary implementation belongs to the router stage based on filename, imports, and inventory evidence.</x:v>
      </x:c>
      <x:c r="T146" s="69" t="str">
        <x:v>Update imports and retain the old tiff module as a wrapper when callers exist.</x:v>
      </x:c>
      <x:c r="U146" s="69" t="str"/>
      <x:c r="V146" s="69" t="str"/>
      <x:c r="W146" s="69" t="str"/>
      <x:c r="X146" s="72" t="n">
        <x:v>20509</x:v>
      </x:c>
      <x:c r="Y146" s="70" t="b">
        <x:v>1</x:v>
      </x:c>
      <x:c r="Z146" s="69" t="str">
        <x:v>Compatibility required</x:v>
      </x:c>
      <x:c r="AA146" s="69" t="str">
        <x:v>https://github.com/jwild2027/heico-ai-internship-summer-2026/blob/srv/tiff/trace_net_e2e_calibrated_cascade_route_brain_v35_3.py</x:v>
      </x:c>
      <x:c r="AB146" s="69" t="str">
        <x:v>shared &lt;= string:contract, string:schema; ingestion &lt;= path:tiff, string:preprocess; ocr &lt;= string:fishnet; visual &lt;= string:diagram, string:image_visual, string:llava, string:visual; tables &lt;= string:table; embeddings &lt;= string:qdrant</x:v>
      </x:c>
    </x:row>
    <x:row r="147">
      <x:c r="A147" s="68" t="n">
        <x:v>146</x:v>
      </x:c>
      <x:c r="B147" s="69" t="str">
        <x:v>tiff/trace_net_e2e_cascade_route_feature_audit_v35_2.py</x:v>
      </x:c>
      <x:c r="C147" s="69" t="str">
        <x:v>trace_net_e2e_cascade_route_feature_audit_v35_2.py</x:v>
      </x:c>
      <x:c r="D147" s="69" t="str">
        <x:v>ingestion</x:v>
      </x:c>
      <x:c r="E147" s="69" t="str">
        <x:v>benchmarks, visual, tables</x:v>
      </x:c>
      <x:c r="F147" s="69" t="str">
        <x:v>ingestion</x:v>
      </x:c>
      <x:c r="G147" s="69" t="str">
        <x:v>src/trace_net/ingestion/</x:v>
      </x:c>
      <x:c r="H147" s="69" t="str">
        <x:v>src/trace_net/ingestion/trace_net_e2e_cascade_route_feature_audit_v35_2.py</x:v>
      </x:c>
      <x:c r="I147" s="69" t="str">
        <x:v>active library module</x:v>
      </x:c>
      <x:c r="J147" s="69" t="str">
        <x:v>MOVE_WITH_IMPORT_UPDATES_AND_COMPATIBILITY_WRAPPER</x:v>
      </x:c>
      <x:c r="K147" s="70" t="b">
        <x:v>1</x:v>
      </x:c>
      <x:c r="L147" s="70" t="b">
        <x:v>0</x:v>
      </x:c>
      <x:c r="M147" s="70" t="b">
        <x:v>1</x:v>
      </x:c>
      <x:c r="N147" s="69" t="n">
        <x:v>2</x:v>
      </x:c>
      <x:c r="O147" s="69" t="n">
        <x:v>0</x:v>
      </x:c>
      <x:c r="P147" s="69" t="str">
        <x:v>scripts/build_trace_net_e2e_cascade_route_feature_audit_v35_2.py; tests/unit/test_trace_net_e2e_cascade_route_feature_audit_v35_2.py</x:v>
      </x:c>
      <x:c r="Q147" s="71" t="n">
        <x:v>0.95</x:v>
      </x:c>
      <x:c r="R147" s="69" t="str">
        <x:v>inventory stage: ingestion</x:v>
      </x:c>
      <x:c r="S147" s="69" t="str">
        <x:v>Primary implementation belongs to the ingestion stage based on filename, imports, and inventory evidence.</x:v>
      </x:c>
      <x:c r="T147" s="69" t="str">
        <x:v>Update imports and retain the old tiff module as a wrapper when callers exist.</x:v>
      </x:c>
      <x:c r="U147" s="69" t="str"/>
      <x:c r="V147" s="69" t="str"/>
      <x:c r="W147" s="69" t="str"/>
      <x:c r="X147" s="72" t="n">
        <x:v>29820</x:v>
      </x:c>
      <x:c r="Y147" s="70" t="b">
        <x:v>1</x:v>
      </x:c>
      <x:c r="Z147" s="69" t="str">
        <x:v>Compatibility required</x:v>
      </x:c>
      <x:c r="AA147" s="69" t="str">
        <x:v>https://github.com/jwild2027/heico-ai-internship-summer-2026/blob/srv/tiff/trace_net_e2e_cascade_route_feature_audit_v35_2.py</x:v>
      </x:c>
      <x:c r="AB147" s="69" t="str">
        <x:v>shared &lt;= string:contract, string:schema; ingestion &lt;= path:tiff, symbol:tiff, string:tiff; ocr &lt;= string:fishnet; visual &lt;= symbol:diagram, string:callout, string:diagram, string:image_visual, string:llava; tables &lt;= symbol:column, string:column, string:table; embeddings &lt;= string:qdrant</x:v>
      </x:c>
    </x:row>
    <x:row r="148">
      <x:c r="A148" s="68" t="n">
        <x:v>147</x:v>
      </x:c>
      <x:c r="B148" s="69" t="str">
        <x:v>tiff/trace_net_e2e_codebase_checklist_v1.py</x:v>
      </x:c>
      <x:c r="C148" s="69" t="str">
        <x:v>trace_net_e2e_codebase_checklist_v1.py</x:v>
      </x:c>
      <x:c r="D148" s="69" t="str">
        <x:v>serving</x:v>
      </x:c>
      <x:c r="E148" s="69" t="str">
        <x:v>ingestion, retrieval</x:v>
      </x:c>
      <x:c r="F148" s="69" t="str">
        <x:v>validation</x:v>
      </x:c>
      <x:c r="G148" s="69" t="str">
        <x:v>src/trace_net/validation/</x:v>
      </x:c>
      <x:c r="H148" s="69" t="str">
        <x:v>src/trace_net/validation/trace_net_e2e_codebase_checklist_v1.py</x:v>
      </x:c>
      <x:c r="I148" s="69" t="str">
        <x:v>active library module</x:v>
      </x:c>
      <x:c r="J148" s="69" t="str">
        <x:v>MOVE_WITH_IMPORT_UPDATES_AND_COMPATIBILITY_WRAPPER</x:v>
      </x:c>
      <x:c r="K148" s="70" t="b">
        <x:v>1</x:v>
      </x:c>
      <x:c r="L148" s="70" t="b">
        <x:v>0</x:v>
      </x:c>
      <x:c r="M148" s="70" t="b">
        <x:v>1</x:v>
      </x:c>
      <x:c r="N148" s="69" t="n">
        <x:v>2</x:v>
      </x:c>
      <x:c r="O148" s="69" t="n">
        <x:v>0</x:v>
      </x:c>
      <x:c r="P148" s="69" t="str">
        <x:v>scripts/run_trace_net_e2e_codebase_checklist_v1.py; tests/unit/test_trace_net_e2e_codebase_checklist_v1.py</x:v>
      </x:c>
      <x:c r="Q148" s="71" t="n">
        <x:v>0.95</x:v>
      </x:c>
      <x:c r="R148" s="69" t="str">
        <x:v>cross-cutting validation/reliability</x:v>
      </x:c>
      <x:c r="S148" s="69" t="str">
        <x:v>Primary implementation belongs to the validation stage based on filename, imports, and inventory evidence.</x:v>
      </x:c>
      <x:c r="T148" s="69" t="str">
        <x:v>Update imports and retain the old tiff module as a wrapper when callers exist.</x:v>
      </x:c>
      <x:c r="U148" s="69" t="str"/>
      <x:c r="V148" s="69" t="str"/>
      <x:c r="W148" s="69" t="str"/>
      <x:c r="X148" s="72" t="n">
        <x:v>15730</x:v>
      </x:c>
      <x:c r="Y148" s="70" t="b">
        <x:v>1</x:v>
      </x:c>
      <x:c r="Z148" s="69" t="str">
        <x:v>Compatibility required</x:v>
      </x:c>
      <x:c r="AA148" s="69" t="str">
        <x:v>https://github.com/jwild2027/heico-ai-internship-summer-2026/blob/srv/tiff/trace_net_e2e_codebase_checklist_v1.py</x:v>
      </x:c>
      <x:c r="AB148" s="69" t="str">
        <x:v>ingestion &lt;= path:tiff, string:tiff; tables &lt;= string:table; embeddings &lt;= string:qdrant; retrieval &lt;= string:hybrid_search, string:opensearch, string:retriev, string:tunnel; router &lt;= string:routing; context &lt;= string:context_pack</x:v>
      </x:c>
    </x:row>
    <x:row r="149">
      <x:c r="A149" s="68" t="n">
        <x:v>148</x:v>
      </x:c>
      <x:c r="B149" s="69" t="str">
        <x:v>tiff/trace_net_e2e_context_pack_builder_v1.py</x:v>
      </x:c>
      <x:c r="C149" s="69" t="str">
        <x:v>trace_net_e2e_context_pack_builder_v1.py</x:v>
      </x:c>
      <x:c r="D149" s="69" t="str">
        <x:v>context</x:v>
      </x:c>
      <x:c r="E149" s="69" t="str">
        <x:v>benchmarks, ingestion, serving, operations</x:v>
      </x:c>
      <x:c r="F149" s="69" t="str">
        <x:v>context</x:v>
      </x:c>
      <x:c r="G149" s="69" t="str">
        <x:v>src/trace_net/context/</x:v>
      </x:c>
      <x:c r="H149" s="69" t="str">
        <x:v>src/trace_net/context/trace_net_e2e_context_pack_builder_v1.py</x:v>
      </x:c>
      <x:c r="I149" s="69" t="str">
        <x:v>artifact builder implementation</x:v>
      </x:c>
      <x:c r="J149" s="69" t="str">
        <x:v>MOVE_WITH_IMPORT_UPDATES_AND_COMPATIBILITY_WRAPPER</x:v>
      </x:c>
      <x:c r="K149" s="70" t="b">
        <x:v>1</x:v>
      </x:c>
      <x:c r="L149" s="70" t="b">
        <x:v>0</x:v>
      </x:c>
      <x:c r="M149" s="70" t="b">
        <x:v>1</x:v>
      </x:c>
      <x:c r="N149" s="69" t="n">
        <x:v>3</x:v>
      </x:c>
      <x:c r="O149" s="69" t="n">
        <x:v>1</x:v>
      </x:c>
      <x:c r="P149" s="69" t="str">
        <x:v>scripts/build_trace_net_e2e_context_pack_builder_v1.py; scripts/check_trace_net_e2e_context_pack_builder_v1_quality.py; tests/unit/test_trace_net_e2e_context_pack_builder_v1.py; tiff/trace_net_e2e_codebase_checklist_v1.py</x:v>
      </x:c>
      <x:c r="Q149" s="71" t="n">
        <x:v>0.96</x:v>
      </x:c>
      <x:c r="R149" s="69" t="str">
        <x:v>context/evidence naming</x:v>
      </x:c>
      <x:c r="S149" s="69" t="str">
        <x:v>Build implementation is imported by active wrappers/tests and belongs to the context package.</x:v>
      </x:c>
      <x:c r="T149" s="69" t="str">
        <x:v>Update wrapper imports and compare generated artifact counts/checksums.</x:v>
      </x:c>
      <x:c r="U149" s="69" t="str"/>
      <x:c r="V149" s="69" t="str"/>
      <x:c r="W149" s="69" t="str"/>
      <x:c r="X149" s="72" t="n">
        <x:v>26229</x:v>
      </x:c>
      <x:c r="Y149" s="70" t="b">
        <x:v>1</x:v>
      </x:c>
      <x:c r="Z149" s="69" t="str">
        <x:v>Compatibility required</x:v>
      </x:c>
      <x:c r="AA149" s="69" t="str">
        <x:v>https://github.com/jwild2027/heico-ai-internship-summer-2026/blob/srv/tiff/trace_net_e2e_context_pack_builder_v1.py</x:v>
      </x:c>
      <x:c r="AB149" s="69" t="str">
        <x:v>shared &lt;= string:contract, string:schema; ingestion &lt;= path:tiff, string:convert; ocr &lt;= string:ocr; tables &lt;= symbol:table, string:table; embeddings &lt;= string:qdrant; retrieval &lt;= symbol:retriev, string:opensearch, string:retriev</x:v>
      </x:c>
    </x:row>
    <x:row r="150">
      <x:c r="A150" s="68" t="n">
        <x:v>149</x:v>
      </x:c>
      <x:c r="B150" s="69" t="str">
        <x:v>tiff/trace_net_e2e_corrected_visual_context_builder_v35_4.py</x:v>
      </x:c>
      <x:c r="C150" s="69" t="str">
        <x:v>trace_net_e2e_corrected_visual_context_builder_v35_4.py</x:v>
      </x:c>
      <x:c r="D150" s="69" t="str">
        <x:v>visual</x:v>
      </x:c>
      <x:c r="E150" s="69" t="str">
        <x:v>ingestion, benchmarks</x:v>
      </x:c>
      <x:c r="F150" s="69" t="str">
        <x:v>visual</x:v>
      </x:c>
      <x:c r="G150" s="69" t="str">
        <x:v>src/trace_net/visual/</x:v>
      </x:c>
      <x:c r="H150" s="69" t="str">
        <x:v>src/trace_net/visual/trace_net_e2e_corrected_visual_context_builder_v35_4.py</x:v>
      </x:c>
      <x:c r="I150" s="69" t="str">
        <x:v>artifact builder implementation</x:v>
      </x:c>
      <x:c r="J150" s="69" t="str">
        <x:v>MOVE_WITH_IMPORT_UPDATES_AND_COMPATIBILITY_WRAPPER</x:v>
      </x:c>
      <x:c r="K150" s="70" t="b">
        <x:v>1</x:v>
      </x:c>
      <x:c r="L150" s="70" t="b">
        <x:v>0</x:v>
      </x:c>
      <x:c r="M150" s="70" t="b">
        <x:v>1</x:v>
      </x:c>
      <x:c r="N150" s="69" t="n">
        <x:v>3</x:v>
      </x:c>
      <x:c r="O150" s="69" t="n">
        <x:v>0</x:v>
      </x:c>
      <x:c r="P150" s="69" t="str">
        <x:v>scripts/build_trace_net_e2e_corrected_visual_context_builder_v35_4.py; scripts/check_trace_net_e2e_corrected_visual_context_builder_v35_4_quality.py; tests/unit/test_trace_net_e2e_corrected_visual_context_builder_v35_4.py</x:v>
      </x:c>
      <x:c r="Q150" s="71" t="n">
        <x:v>0.96</x:v>
      </x:c>
      <x:c r="R150" s="69" t="str">
        <x:v>visual/image/vision naming</x:v>
      </x:c>
      <x:c r="S150" s="69" t="str">
        <x:v>Build implementation is imported by active wrappers/tests and belongs to the visual package.</x:v>
      </x:c>
      <x:c r="T150" s="69" t="str">
        <x:v>Update wrapper imports and compare generated artifact counts/checksums.</x:v>
      </x:c>
      <x:c r="U150" s="69" t="str"/>
      <x:c r="V150" s="69" t="str"/>
      <x:c r="W150" s="69" t="str"/>
      <x:c r="X150" s="72" t="n">
        <x:v>25326</x:v>
      </x:c>
      <x:c r="Y150" s="70" t="b">
        <x:v>1</x:v>
      </x:c>
      <x:c r="Z150" s="69" t="str">
        <x:v>Compatibility required</x:v>
      </x:c>
      <x:c r="AA150" s="69" t="str">
        <x:v>https://github.com/jwild2027/heico-ai-internship-summer-2026/blob/srv/tiff/trace_net_e2e_corrected_visual_context_builder_v35_4.py</x:v>
      </x:c>
      <x:c r="AB150" s="69" t="str">
        <x:v>shared &lt;= string:contract, string:schema; ingestion &lt;= path:tiff, symbol:tiff, string:tiff; ocr &lt;= string:fishnet, string:ocr; visual &lt;= path:visual, symbol:visual, string:callout, string:diagram, string:image_visual, string:llava; tables &lt;= symbol:table, string:table; graph &lt;= string:graph</x:v>
      </x:c>
    </x:row>
    <x:row r="151">
      <x:c r="A151" s="68" t="n">
        <x:v>150</x:v>
      </x:c>
      <x:c r="B151" s="69" t="str">
        <x:v>tiff/trace_net_e2e_crag_retrieval_corrector_v10.py</x:v>
      </x:c>
      <x:c r="C151" s="69" t="str">
        <x:v>trace_net_e2e_crag_retrieval_corrector_v10.py</x:v>
      </x:c>
      <x:c r="D151" s="69" t="str">
        <x:v>validation</x:v>
      </x:c>
      <x:c r="E151" s="69" t="str">
        <x:v>benchmarks, retrieval, ingestion</x:v>
      </x:c>
      <x:c r="F151" s="69" t="str">
        <x:v>validation</x:v>
      </x:c>
      <x:c r="G151" s="69" t="str">
        <x:v>src/trace_net/validation/</x:v>
      </x:c>
      <x:c r="H151" s="69" t="str">
        <x:v>src/trace_net/validation/trace_net_e2e_crag_retrieval_corrector_v10.py</x:v>
      </x:c>
      <x:c r="I151" s="69" t="str">
        <x:v>active library module</x:v>
      </x:c>
      <x:c r="J151" s="69" t="str">
        <x:v>MOVE_WITH_IMPORT_UPDATES_AND_COMPATIBILITY_WRAPPER</x:v>
      </x:c>
      <x:c r="K151" s="70" t="b">
        <x:v>1</x:v>
      </x:c>
      <x:c r="L151" s="70" t="b">
        <x:v>0</x:v>
      </x:c>
      <x:c r="M151" s="70" t="b">
        <x:v>1</x:v>
      </x:c>
      <x:c r="N151" s="69" t="n">
        <x:v>3</x:v>
      </x:c>
      <x:c r="O151" s="69" t="n">
        <x:v>0</x:v>
      </x:c>
      <x:c r="P151" s="69" t="str">
        <x:v>scripts/build_trace_net_e2e_crag_retrieval_corrector_v10.py; scripts/check_trace_net_e2e_crag_retrieval_corrector_v10_quality.py; tests/unit/test_trace_net_e2e_crag_retrieval_corrector_v10.py</x:v>
      </x:c>
      <x:c r="Q151" s="71" t="n">
        <x:v>0.95</x:v>
      </x:c>
      <x:c r="R151" s="69" t="str">
        <x:v>cross-cutting validation/reliability</x:v>
      </x:c>
      <x:c r="S151" s="69" t="str">
        <x:v>Primary implementation belongs to the validation stage based on filename, imports, and inventory evidence.</x:v>
      </x:c>
      <x:c r="T151" s="69" t="str">
        <x:v>Update imports and retain the old tiff module as a wrapper when callers exist.</x:v>
      </x:c>
      <x:c r="U151" s="69" t="str"/>
      <x:c r="V151" s="69" t="str"/>
      <x:c r="W151" s="69" t="str"/>
      <x:c r="X151" s="72" t="n">
        <x:v>25095</x:v>
      </x:c>
      <x:c r="Y151" s="70" t="b">
        <x:v>1</x:v>
      </x:c>
      <x:c r="Z151" s="69" t="str">
        <x:v>Compatibility required</x:v>
      </x:c>
      <x:c r="AA151" s="69" t="str">
        <x:v>https://github.com/jwild2027/heico-ai-internship-summer-2026/blob/srv/tiff/trace_net_e2e_crag_retrieval_corrector_v10.py</x:v>
      </x:c>
      <x:c r="AB151" s="69" t="str">
        <x:v>shared &lt;= string:contract, string:schema; ingestion &lt;= path:tiff; ocr &lt;= string:ocr; tables &lt;= string:table; graph &lt;= string:graph; embeddings &lt;= string:embedding, string:qdrant</x:v>
      </x:c>
    </x:row>
    <x:row r="152">
      <x:c r="A152" s="68" t="n">
        <x:v>151</x:v>
      </x:c>
      <x:c r="B152" s="69" t="str">
        <x:v>tiff/trace_net_e2e_dynamic_context_pack_v8.py</x:v>
      </x:c>
      <x:c r="C152" s="69" t="str">
        <x:v>trace_net_e2e_dynamic_context_pack_v8.py</x:v>
      </x:c>
      <x:c r="D152" s="69" t="str">
        <x:v>context</x:v>
      </x:c>
      <x:c r="E152" s="69" t="str">
        <x:v>benchmarks, graph</x:v>
      </x:c>
      <x:c r="F152" s="69" t="str">
        <x:v>context</x:v>
      </x:c>
      <x:c r="G152" s="69" t="str">
        <x:v>src/trace_net/context/</x:v>
      </x:c>
      <x:c r="H152" s="69" t="str">
        <x:v>src/trace_net/context/trace_net_e2e_dynamic_context_pack_v8.py</x:v>
      </x:c>
      <x:c r="I152" s="69" t="str">
        <x:v>active library module</x:v>
      </x:c>
      <x:c r="J152" s="69" t="str">
        <x:v>MOVE_WITH_IMPORT_UPDATES_AND_COMPATIBILITY_WRAPPER</x:v>
      </x:c>
      <x:c r="K152" s="70" t="b">
        <x:v>1</x:v>
      </x:c>
      <x:c r="L152" s="70" t="b">
        <x:v>0</x:v>
      </x:c>
      <x:c r="M152" s="70" t="b">
        <x:v>1</x:v>
      </x:c>
      <x:c r="N152" s="69" t="n">
        <x:v>3</x:v>
      </x:c>
      <x:c r="O152" s="69" t="n">
        <x:v>0</x:v>
      </x:c>
      <x:c r="P152" s="69" t="str">
        <x:v>scripts/build_trace_net_e2e_dynamic_context_pack_v8.py; scripts/check_trace_net_e2e_dynamic_context_pack_v8_quality.py; tests/unit/test_trace_net_e2e_dynamic_context_pack_v8.py</x:v>
      </x:c>
      <x:c r="Q152" s="71" t="n">
        <x:v>0.95</x:v>
      </x:c>
      <x:c r="R152" s="69" t="str">
        <x:v>context/evidence naming</x:v>
      </x:c>
      <x:c r="S152" s="69" t="str">
        <x:v>Primary implementation belongs to the context stage based on filename, imports, and inventory evidence.</x:v>
      </x:c>
      <x:c r="T152" s="69" t="str">
        <x:v>Update imports and retain the old tiff module as a wrapper when callers exist.</x:v>
      </x:c>
      <x:c r="U152" s="69" t="str"/>
      <x:c r="V152" s="69" t="str"/>
      <x:c r="W152" s="69" t="str"/>
      <x:c r="X152" s="72" t="n">
        <x:v>31777</x:v>
      </x:c>
      <x:c r="Y152" s="70" t="b">
        <x:v>1</x:v>
      </x:c>
      <x:c r="Z152" s="69" t="str">
        <x:v>Compatibility required</x:v>
      </x:c>
      <x:c r="AA152" s="69" t="str">
        <x:v>https://github.com/jwild2027/heico-ai-internship-summer-2026/blob/srv/tiff/trace_net_e2e_dynamic_context_pack_v8.py</x:v>
      </x:c>
      <x:c r="AB152" s="69" t="str">
        <x:v>shared &lt;= string:contract, string:schema; ingestion &lt;= path:tiff; ocr &lt;= string:ocr; tables &lt;= string:table; graph &lt;= symbol:community, string:community, string:graph, string:leiden; embeddings &lt;= string:embedding, string:qdrant</x:v>
      </x:c>
    </x:row>
    <x:row r="153">
      <x:c r="A153" s="68" t="n">
        <x:v>152</x:v>
      </x:c>
      <x:c r="B153" s="69" t="str">
        <x:v>tiff/trace_net_e2e_dynamic_plan_executor_v18.py</x:v>
      </x:c>
      <x:c r="C153" s="69" t="str">
        <x:v>trace_net_e2e_dynamic_plan_executor_v18.py</x:v>
      </x:c>
      <x:c r="D153" s="69" t="str">
        <x:v>graph</x:v>
      </x:c>
      <x:c r="E153" s="69" t="str">
        <x:v>benchmarks, ingestion</x:v>
      </x:c>
      <x:c r="F153" s="69" t="str">
        <x:v>graph</x:v>
      </x:c>
      <x:c r="G153" s="69" t="str">
        <x:v>src/trace_net/graph/</x:v>
      </x:c>
      <x:c r="H153" s="69" t="str">
        <x:v>src/trace_net/graph/trace_net_e2e_dynamic_plan_executor_v18.py</x:v>
      </x:c>
      <x:c r="I153" s="69" t="str">
        <x:v>active library module</x:v>
      </x:c>
      <x:c r="J153" s="69" t="str">
        <x:v>MOVE_WITH_IMPORT_UPDATES_AND_COMPATIBILITY_WRAPPER</x:v>
      </x:c>
      <x:c r="K153" s="70" t="b">
        <x:v>1</x:v>
      </x:c>
      <x:c r="L153" s="70" t="b">
        <x:v>0</x:v>
      </x:c>
      <x:c r="M153" s="70" t="b">
        <x:v>1</x:v>
      </x:c>
      <x:c r="N153" s="69" t="n">
        <x:v>3</x:v>
      </x:c>
      <x:c r="O153" s="69" t="n">
        <x:v>0</x:v>
      </x:c>
      <x:c r="P153" s="69" t="str">
        <x:v>scripts/build_trace_net_e2e_dynamic_plan_executor_v18.py; scripts/check_trace_net_e2e_dynamic_plan_executor_v18_quality.py; tests/unit/test_trace_net_e2e_dynamic_plan_executor_v18.py</x:v>
      </x:c>
      <x:c r="Q153" s="71" t="n">
        <x:v>0.95</x:v>
      </x:c>
      <x:c r="R153" s="69" t="str">
        <x:v>inventory stage: graph</x:v>
      </x:c>
      <x:c r="S153" s="69" t="str">
        <x:v>Primary implementation belongs to the graph stage based on filename, imports, and inventory evidence.</x:v>
      </x:c>
      <x:c r="T153" s="69" t="str">
        <x:v>Update imports and retain the old tiff module as a wrapper when callers exist.</x:v>
      </x:c>
      <x:c r="U153" s="69" t="str"/>
      <x:c r="V153" s="69" t="str"/>
      <x:c r="W153" s="69" t="str"/>
      <x:c r="X153" s="72" t="n">
        <x:v>28583</x:v>
      </x:c>
      <x:c r="Y153" s="70" t="b">
        <x:v>1</x:v>
      </x:c>
      <x:c r="Z153" s="69" t="str">
        <x:v>Compatibility required</x:v>
      </x:c>
      <x:c r="AA153" s="69" t="str">
        <x:v>https://github.com/jwild2027/heico-ai-internship-summer-2026/blob/srv/tiff/trace_net_e2e_dynamic_plan_executor_v18.py</x:v>
      </x:c>
      <x:c r="AB153" s="69" t="str">
        <x:v>shared &lt;= string:contract, string:source_id; ingestion &lt;= path:tiff; tables &lt;= string:column, string:ipl, string:table; graph &lt;= symbol:leiden, string:community, string:graph, string:leiden; embeddings &lt;= string:qdrant; retrieval &lt;= string:high_degree, string:retriev, string:tunnel</x:v>
      </x:c>
    </x:row>
    <x:row r="154">
      <x:c r="A154" s="68" t="n">
        <x:v>153</x:v>
      </x:c>
      <x:c r="B154" s="69" t="str">
        <x:v>tiff/trace_net_e2e_dynamic_query_endpoint_v1.py</x:v>
      </x:c>
      <x:c r="C154" s="69" t="str">
        <x:v>trace_net_e2e_dynamic_query_endpoint_v1.py</x:v>
      </x:c>
      <x:c r="D154" s="69" t="str">
        <x:v>serving</x:v>
      </x:c>
      <x:c r="E154" s="69" t="str"/>
      <x:c r="F154" s="69" t="str">
        <x:v>serving</x:v>
      </x:c>
      <x:c r="G154" s="69" t="str">
        <x:v>src/trace_net/serving/</x:v>
      </x:c>
      <x:c r="H154" s="69" t="str">
        <x:v>src/trace_net/serving/trace_net_e2e_dynamic_query_endpoint_v1.py</x:v>
      </x:c>
      <x:c r="I154" s="69" t="str">
        <x:v>serving/runtime module</x:v>
      </x:c>
      <x:c r="J154" s="69" t="str">
        <x:v>MOVE_WITH_PROTECTED_COMPATIBILITY_WRAPPER</x:v>
      </x:c>
      <x:c r="K154" s="70" t="b">
        <x:v>1</x:v>
      </x:c>
      <x:c r="L154" s="70" t="b">
        <x:v>0</x:v>
      </x:c>
      <x:c r="M154" s="70" t="b">
        <x:v>1</x:v>
      </x:c>
      <x:c r="N154" s="69" t="n">
        <x:v>4</x:v>
      </x:c>
      <x:c r="O154" s="69" t="n">
        <x:v>0</x:v>
      </x:c>
      <x:c r="P154" s="69" t="str">
        <x:v>scripts/build_trace_net_e2e_dynamic_query_endpoint_v1.py; scripts/check_trace_net_e2e_dynamic_query_endpoint_v1_quality.py; scripts/serve_trace_net_e2e_dynamic_query_endpoint_v1.py; tests/unit/test_trace_net_e2e_dynamic_query_endpoint_v1.py</x:v>
      </x:c>
      <x:c r="Q154" s="71" t="n">
        <x:v>0.98</x:v>
      </x:c>
      <x:c r="R154" s="69" t="str">
        <x:v>serving/API naming</x:v>
      </x:c>
      <x:c r="S154" s="69" t="str">
        <x:v>API, endpoint, server, bridge, or console implementation used by runtime callers.</x:v>
      </x:c>
      <x:c r="T154" s="69" t="str">
        <x:v>Old entrypoint must remain callable; verify relevant ports and OpenWebUI behavior.</x:v>
      </x:c>
      <x:c r="U154" s="69" t="str"/>
      <x:c r="V154" s="69" t="str"/>
      <x:c r="W154" s="69" t="str"/>
      <x:c r="X154" s="72" t="n">
        <x:v>39202</x:v>
      </x:c>
      <x:c r="Y154" s="70" t="b">
        <x:v>1</x:v>
      </x:c>
      <x:c r="Z154" s="69" t="str">
        <x:v>Compatibility required</x:v>
      </x:c>
      <x:c r="AA154" s="69" t="str">
        <x:v>https://github.com/jwild2027/heico-ai-internship-summer-2026/blob/srv/tiff/trace_net_e2e_dynamic_query_endpoint_v1.py</x:v>
      </x:c>
      <x:c r="AB154" s="69" t="str">
        <x:v>shared &lt;= string:contract; ingestion &lt;= path:tiff; ocr &lt;= string:ocr; visual &lt;= string:callout, string:visual; tables &lt;= symbol:table, string:ipl, string:table; graph &lt;= string:community, string:graph</x:v>
      </x:c>
    </x:row>
    <x:row r="155">
      <x:c r="A155" s="68" t="n">
        <x:v>154</x:v>
      </x:c>
      <x:c r="B155" s="69" t="str">
        <x:v>tiff/trace_net_e2e_dynamic_query_tunnels_v3.py</x:v>
      </x:c>
      <x:c r="C155" s="69" t="str">
        <x:v>trace_net_e2e_dynamic_query_tunnels_v3.py</x:v>
      </x:c>
      <x:c r="D155" s="69" t="str">
        <x:v>retrieval</x:v>
      </x:c>
      <x:c r="E155" s="69" t="str">
        <x:v>serving, ingestion, tables, benchmarks</x:v>
      </x:c>
      <x:c r="F155" s="69" t="str">
        <x:v>retrieval</x:v>
      </x:c>
      <x:c r="G155" s="69" t="str">
        <x:v>src/trace_net/retrieval/</x:v>
      </x:c>
      <x:c r="H155" s="69" t="str">
        <x:v>src/trace_net/retrieval/trace_net_e2e_dynamic_query_tunnels_v3.py</x:v>
      </x:c>
      <x:c r="I155" s="69" t="str">
        <x:v>active library module</x:v>
      </x:c>
      <x:c r="J155" s="69" t="str">
        <x:v>MOVE_WITH_IMPORT_UPDATES_AND_COMPATIBILITY_WRAPPER</x:v>
      </x:c>
      <x:c r="K155" s="70" t="b">
        <x:v>1</x:v>
      </x:c>
      <x:c r="L155" s="70" t="b">
        <x:v>0</x:v>
      </x:c>
      <x:c r="M155" s="70" t="b">
        <x:v>1</x:v>
      </x:c>
      <x:c r="N155" s="69" t="n">
        <x:v>2</x:v>
      </x:c>
      <x:c r="O155" s="69" t="n">
        <x:v>0</x:v>
      </x:c>
      <x:c r="P155" s="69" t="str">
        <x:v>scripts/build_trace_net_e2e_dynamic_query_tunnels_v3.py; tests/unit/test_trace_net_e2e_dynamic_query_tunnels_v3.py</x:v>
      </x:c>
      <x:c r="Q155" s="71" t="n">
        <x:v>0.95</x:v>
      </x:c>
      <x:c r="R155" s="69" t="str">
        <x:v>inventory stage: retrieval</x:v>
      </x:c>
      <x:c r="S155" s="69" t="str">
        <x:v>Primary implementation belongs to the retrieval stage based on filename, imports, and inventory evidence.</x:v>
      </x:c>
      <x:c r="T155" s="69" t="str">
        <x:v>Update imports and retain the old tiff module as a wrapper when callers exist.</x:v>
      </x:c>
      <x:c r="U155" s="69" t="str"/>
      <x:c r="V155" s="69" t="str"/>
      <x:c r="W155" s="69" t="str"/>
      <x:c r="X155" s="72" t="n">
        <x:v>29897</x:v>
      </x:c>
      <x:c r="Y155" s="70" t="b">
        <x:v>1</x:v>
      </x:c>
      <x:c r="Z155" s="69" t="str">
        <x:v>Compatibility required</x:v>
      </x:c>
      <x:c r="AA155" s="69" t="str">
        <x:v>https://github.com/jwild2027/heico-ai-internship-summer-2026/blob/srv/tiff/trace_net_e2e_dynamic_query_tunnels_v3.py</x:v>
      </x:c>
      <x:c r="AB155" s="69" t="str">
        <x:v>shared &lt;= string:contract, string:schema; ingestion &lt;= path:tiff; ocr &lt;= string:ocr; visual &lt;= string:callout, string:diagram, string:image_visual, string:visual; tables &lt;= symbol:table, string:ipl, string:table; graph &lt;= string:community, string:graph, string:leiden</x:v>
      </x:c>
    </x:row>
    <x:row r="156">
      <x:c r="A156" s="68" t="n">
        <x:v>155</x:v>
      </x:c>
      <x:c r="B156" s="69" t="str">
        <x:v>tiff/trace_net_e2e_dynamic_tunnel_ranker_v6.py</x:v>
      </x:c>
      <x:c r="C156" s="69" t="str">
        <x:v>trace_net_e2e_dynamic_tunnel_ranker_v6.py</x:v>
      </x:c>
      <x:c r="D156" s="69" t="str">
        <x:v>retrieval</x:v>
      </x:c>
      <x:c r="E156" s="69" t="str">
        <x:v>ingestion, serving</x:v>
      </x:c>
      <x:c r="F156" s="69" t="str">
        <x:v>retrieval</x:v>
      </x:c>
      <x:c r="G156" s="69" t="str">
        <x:v>src/trace_net/retrieval/</x:v>
      </x:c>
      <x:c r="H156" s="69" t="str">
        <x:v>src/trace_net/retrieval/trace_net_e2e_dynamic_tunnel_ranker_v6.py</x:v>
      </x:c>
      <x:c r="I156" s="69" t="str">
        <x:v>active library module</x:v>
      </x:c>
      <x:c r="J156" s="69" t="str">
        <x:v>MOVE_WITH_IMPORT_UPDATES_AND_COMPATIBILITY_WRAPPER</x:v>
      </x:c>
      <x:c r="K156" s="70" t="b">
        <x:v>1</x:v>
      </x:c>
      <x:c r="L156" s="70" t="b">
        <x:v>0</x:v>
      </x:c>
      <x:c r="M156" s="70" t="b">
        <x:v>1</x:v>
      </x:c>
      <x:c r="N156" s="69" t="n">
        <x:v>2</x:v>
      </x:c>
      <x:c r="O156" s="69" t="n">
        <x:v>0</x:v>
      </x:c>
      <x:c r="P156" s="69" t="str">
        <x:v>scripts/build_trace_net_e2e_dynamic_tunnel_ranker_v6.py; tests/unit/test_trace_net_e2e_dynamic_tunnel_ranker_v6.py</x:v>
      </x:c>
      <x:c r="Q156" s="71" t="n">
        <x:v>0.95</x:v>
      </x:c>
      <x:c r="R156" s="69" t="str">
        <x:v>inventory stage: retrieval</x:v>
      </x:c>
      <x:c r="S156" s="69" t="str">
        <x:v>Primary implementation belongs to the retrieval stage based on filename, imports, and inventory evidence.</x:v>
      </x:c>
      <x:c r="T156" s="69" t="str">
        <x:v>Update imports and retain the old tiff module as a wrapper when callers exist.</x:v>
      </x:c>
      <x:c r="U156" s="69" t="str"/>
      <x:c r="V156" s="69" t="str"/>
      <x:c r="W156" s="69" t="str"/>
      <x:c r="X156" s="72" t="n">
        <x:v>32567</x:v>
      </x:c>
      <x:c r="Y156" s="70" t="b">
        <x:v>1</x:v>
      </x:c>
      <x:c r="Z156" s="69" t="str">
        <x:v>Compatibility required</x:v>
      </x:c>
      <x:c r="AA156" s="69" t="str">
        <x:v>https://github.com/jwild2027/heico-ai-internship-summer-2026/blob/srv/tiff/trace_net_e2e_dynamic_tunnel_ranker_v6.py</x:v>
      </x:c>
      <x:c r="AB156" s="69" t="str">
        <x:v>shared &lt;= string:contract, string:schema; ingestion &lt;= path:tiff, string:ingest; ocr &lt;= string:ocr; tables &lt;= string:ipl, string:table; graph &lt;= string:community, string:graph, string:leiden; embeddings &lt;= string:embedding, string:qdrant</x:v>
      </x:c>
    </x:row>
    <x:row r="157">
      <x:c r="A157" s="68" t="n">
        <x:v>156</x:v>
      </x:c>
      <x:c r="B157" s="69" t="str">
        <x:v>tiff/trace_net_e2e_evidence_sufficiency_gate_v1.py</x:v>
      </x:c>
      <x:c r="C157" s="69" t="str">
        <x:v>trace_net_e2e_evidence_sufficiency_gate_v1.py</x:v>
      </x:c>
      <x:c r="D157" s="69" t="str">
        <x:v>benchmarks</x:v>
      </x:c>
      <x:c r="E157" s="69" t="str">
        <x:v>validation, ingestion, context</x:v>
      </x:c>
      <x:c r="F157" s="69" t="str">
        <x:v>validation</x:v>
      </x:c>
      <x:c r="G157" s="69" t="str">
        <x:v>src/trace_net/validation/</x:v>
      </x:c>
      <x:c r="H157" s="69" t="str">
        <x:v>src/trace_net/validation/trace_net_e2e_evidence_sufficiency_gate_v1.py</x:v>
      </x:c>
      <x:c r="I157" s="69" t="str">
        <x:v>runtime validation/gating module</x:v>
      </x:c>
      <x:c r="J157" s="69" t="str">
        <x:v>MOVE_WITH_IMPORT_UPDATES_AND_COMPATIBILITY_WRAPPER</x:v>
      </x:c>
      <x:c r="K157" s="70" t="b">
        <x:v>1</x:v>
      </x:c>
      <x:c r="L157" s="70" t="b">
        <x:v>0</x:v>
      </x:c>
      <x:c r="M157" s="70" t="b">
        <x:v>1</x:v>
      </x:c>
      <x:c r="N157" s="69" t="n">
        <x:v>3</x:v>
      </x:c>
      <x:c r="O157" s="69" t="n">
        <x:v>1</x:v>
      </x:c>
      <x:c r="P157" s="69" t="str">
        <x:v>scripts/build_trace_net_e2e_evidence_sufficiency_gate_v1.py; scripts/check_trace_net_e2e_evidence_sufficiency_gate_v1_quality.py; tests/unit/test_trace_net_e2e_evidence_sufficiency_gate_v1.py; tiff/trace_net_e2e_codebase_checklist_v1.py</x:v>
      </x:c>
      <x:c r="Q157" s="71" t="n">
        <x:v>0.96</x:v>
      </x:c>
      <x:c r="R157" s="69" t="str">
        <x:v>cross-cutting validation/reliability</x:v>
      </x:c>
      <x:c r="S157" s="69" t="str">
        <x:v>Implements a runtime gate, critic, hardener, or evidence sufficiency check.</x:v>
      </x:c>
      <x:c r="T157" s="69" t="str">
        <x:v>Preserve gating semantics and old import path until focused tests pass.</x:v>
      </x:c>
      <x:c r="U157" s="69" t="str"/>
      <x:c r="V157" s="69" t="str"/>
      <x:c r="W157" s="69" t="str"/>
      <x:c r="X157" s="72" t="n">
        <x:v>27558</x:v>
      </x:c>
      <x:c r="Y157" s="70" t="b">
        <x:v>1</x:v>
      </x:c>
      <x:c r="Z157" s="69" t="str">
        <x:v>Compatibility required</x:v>
      </x:c>
      <x:c r="AA157" s="69" t="str">
        <x:v>https://github.com/jwild2027/heico-ai-internship-summer-2026/blob/srv/tiff/trace_net_e2e_evidence_sufficiency_gate_v1.py</x:v>
      </x:c>
      <x:c r="AB157" s="69" t="str">
        <x:v>shared &lt;= string:contract, string:schema; ingestion &lt;= path:tiff; tables &lt;= symbol:table; embeddings &lt;= string:qdrant; retrieval &lt;= string:opensearch, string:retriev; context &lt;= symbol:context_pack, string:context_pack, string:source_trace</x:v>
      </x:c>
    </x:row>
    <x:row r="158">
      <x:c r="A158" s="68" t="n">
        <x:v>157</x:v>
      </x:c>
      <x:c r="B158" s="69" t="str">
        <x:v>tiff/trace_net_e2e_executed_plan_context_pack_v19.py</x:v>
      </x:c>
      <x:c r="C158" s="69" t="str">
        <x:v>trace_net_e2e_executed_plan_context_pack_v19.py</x:v>
      </x:c>
      <x:c r="D158" s="69" t="str">
        <x:v>context</x:v>
      </x:c>
      <x:c r="E158" s="69" t="str">
        <x:v>graph, benchmarks</x:v>
      </x:c>
      <x:c r="F158" s="69" t="str">
        <x:v>context</x:v>
      </x:c>
      <x:c r="G158" s="69" t="str">
        <x:v>src/trace_net/context/</x:v>
      </x:c>
      <x:c r="H158" s="69" t="str">
        <x:v>src/trace_net/context/trace_net_e2e_executed_plan_context_pack_v19.py</x:v>
      </x:c>
      <x:c r="I158" s="69" t="str">
        <x:v>active library module</x:v>
      </x:c>
      <x:c r="J158" s="69" t="str">
        <x:v>MOVE_WITH_IMPORT_UPDATES_AND_COMPATIBILITY_WRAPPER</x:v>
      </x:c>
      <x:c r="K158" s="70" t="b">
        <x:v>1</x:v>
      </x:c>
      <x:c r="L158" s="70" t="b">
        <x:v>0</x:v>
      </x:c>
      <x:c r="M158" s="70" t="b">
        <x:v>1</x:v>
      </x:c>
      <x:c r="N158" s="69" t="n">
        <x:v>3</x:v>
      </x:c>
      <x:c r="O158" s="69" t="n">
        <x:v>0</x:v>
      </x:c>
      <x:c r="P158" s="69" t="str">
        <x:v>scripts/build_trace_net_e2e_executed_plan_context_pack_v19.py; scripts/check_trace_net_e2e_executed_plan_context_pack_v19_quality.py; tests/unit/test_trace_net_e2e_executed_plan_context_pack_v19.py</x:v>
      </x:c>
      <x:c r="Q158" s="71" t="n">
        <x:v>0.95</x:v>
      </x:c>
      <x:c r="R158" s="69" t="str">
        <x:v>context/evidence naming</x:v>
      </x:c>
      <x:c r="S158" s="69" t="str">
        <x:v>Primary implementation belongs to the context stage based on filename, imports, and inventory evidence.</x:v>
      </x:c>
      <x:c r="T158" s="69" t="str">
        <x:v>Update imports and retain the old tiff module as a wrapper when callers exist.</x:v>
      </x:c>
      <x:c r="U158" s="69" t="str"/>
      <x:c r="V158" s="69" t="str"/>
      <x:c r="W158" s="69" t="str"/>
      <x:c r="X158" s="72" t="n">
        <x:v>29184</x:v>
      </x:c>
      <x:c r="Y158" s="70" t="b">
        <x:v>1</x:v>
      </x:c>
      <x:c r="Z158" s="69" t="str">
        <x:v>Compatibility required</x:v>
      </x:c>
      <x:c r="AA158" s="69" t="str">
        <x:v>https://github.com/jwild2027/heico-ai-internship-summer-2026/blob/srv/tiff/trace_net_e2e_executed_plan_context_pack_v19.py</x:v>
      </x:c>
      <x:c r="AB158" s="69" t="str">
        <x:v>shared &lt;= symbol:common, string:common, string:contract; ingestion &lt;= path:tiff; graph &lt;= symbol:graph, string:community, string:graph, string:leiden; embeddings &lt;= string:qdrant; retrieval &lt;= string:high_degree, string:retriev; router &lt;= string:routing</x:v>
      </x:c>
    </x:row>
    <x:row r="159">
      <x:c r="A159" s="68" t="n">
        <x:v>158</x:v>
      </x:c>
      <x:c r="B159" s="69" t="str">
        <x:v>tiff/trace_net_e2e_final_answer_gate_v13.py</x:v>
      </x:c>
      <x:c r="C159" s="69" t="str">
        <x:v>trace_net_e2e_final_answer_gate_v13.py</x:v>
      </x:c>
      <x:c r="D159" s="69" t="str">
        <x:v>llm_writing</x:v>
      </x:c>
      <x:c r="E159" s="69" t="str">
        <x:v>benchmarks, ingestion</x:v>
      </x:c>
      <x:c r="F159" s="69" t="str">
        <x:v>validation</x:v>
      </x:c>
      <x:c r="G159" s="69" t="str">
        <x:v>src/trace_net/validation/</x:v>
      </x:c>
      <x:c r="H159" s="69" t="str">
        <x:v>src/trace_net/validation/trace_net_e2e_final_answer_gate_v13.py</x:v>
      </x:c>
      <x:c r="I159" s="69" t="str">
        <x:v>active library module</x:v>
      </x:c>
      <x:c r="J159" s="69" t="str">
        <x:v>MOVE_WITH_IMPORT_UPDATES_AND_COMPATIBILITY_WRAPPER</x:v>
      </x:c>
      <x:c r="K159" s="70" t="b">
        <x:v>1</x:v>
      </x:c>
      <x:c r="L159" s="70" t="b">
        <x:v>0</x:v>
      </x:c>
      <x:c r="M159" s="70" t="b">
        <x:v>1</x:v>
      </x:c>
      <x:c r="N159" s="69" t="n">
        <x:v>3</x:v>
      </x:c>
      <x:c r="O159" s="69" t="n">
        <x:v>0</x:v>
      </x:c>
      <x:c r="P159" s="69" t="str">
        <x:v>scripts/build_trace_net_e2e_final_answer_gate_v13.py; scripts/check_trace_net_e2e_final_answer_gate_v13_quality.py; tests/unit/test_trace_net_e2e_final_answer_gate_v13.py</x:v>
      </x:c>
      <x:c r="Q159" s="71" t="n">
        <x:v>0.95</x:v>
      </x:c>
      <x:c r="R159" s="69" t="str">
        <x:v>cross-cutting validation/reliability</x:v>
      </x:c>
      <x:c r="S159" s="69" t="str">
        <x:v>Primary implementation belongs to the validation stage based on filename, imports, and inventory evidence.</x:v>
      </x:c>
      <x:c r="T159" s="69" t="str">
        <x:v>Update imports and retain the old tiff module as a wrapper when callers exist.</x:v>
      </x:c>
      <x:c r="U159" s="69" t="str"/>
      <x:c r="V159" s="69" t="str"/>
      <x:c r="W159" s="69" t="str"/>
      <x:c r="X159" s="72" t="n">
        <x:v>25787</x:v>
      </x:c>
      <x:c r="Y159" s="70" t="b">
        <x:v>1</x:v>
      </x:c>
      <x:c r="Z159" s="69" t="str">
        <x:v>Compatibility required</x:v>
      </x:c>
      <x:c r="AA159" s="69" t="str">
        <x:v>https://github.com/jwild2027/heico-ai-internship-summer-2026/blob/srv/tiff/trace_net_e2e_final_answer_gate_v13.py</x:v>
      </x:c>
      <x:c r="AB159" s="69" t="str">
        <x:v>shared &lt;= string:common, string:contract, string:schema; ingestion &lt;= path:tiff; ocr &lt;= string:ocr; tables &lt;= string:table; graph &lt;= string:community, string:graph; embeddings &lt;= string:embedding, string:qdrant</x:v>
      </x:c>
    </x:row>
    <x:row r="160">
      <x:c r="A160" s="68" t="n">
        <x:v>159</x:v>
      </x:c>
      <x:c r="B160" s="69" t="str">
        <x:v>tiff/trace_net_e2e_final_gate_smoke_v1.py</x:v>
      </x:c>
      <x:c r="C160" s="69" t="str">
        <x:v>trace_net_e2e_final_gate_smoke_v1.py</x:v>
      </x:c>
      <x:c r="D160" s="69" t="str">
        <x:v>benchmarks</x:v>
      </x:c>
      <x:c r="E160" s="69" t="str">
        <x:v>shared</x:v>
      </x:c>
      <x:c r="F160" s="69" t="str">
        <x:v>validation</x:v>
      </x:c>
      <x:c r="G160" s="69" t="str">
        <x:v>src/trace_net/validation/</x:v>
      </x:c>
      <x:c r="H160" s="69" t="str">
        <x:v>src/trace_net/validation/trace_net_e2e_final_gate_smoke_v1.py</x:v>
      </x:c>
      <x:c r="I160" s="69" t="str">
        <x:v>runtime validation/gating module</x:v>
      </x:c>
      <x:c r="J160" s="69" t="str">
        <x:v>MOVE_WITH_IMPORT_UPDATES_AND_COMPATIBILITY_WRAPPER</x:v>
      </x:c>
      <x:c r="K160" s="70" t="b">
        <x:v>1</x:v>
      </x:c>
      <x:c r="L160" s="70" t="b">
        <x:v>0</x:v>
      </x:c>
      <x:c r="M160" s="70" t="b">
        <x:v>1</x:v>
      </x:c>
      <x:c r="N160" s="69" t="n">
        <x:v>4</x:v>
      </x:c>
      <x:c r="O160" s="69" t="n">
        <x:v>1</x:v>
      </x:c>
      <x:c r="P160" s="69" t="str">
        <x:v>scripts/build_trace_net_e2e_final_gate_smoke_v1.py; scripts/check_trace_net_e2e_final_gate_smoke_v1_quality.py; tests/unit/test_trace_net_e2e_final_gate_smoke_v1.py; tests/unit/test_trace_net_e2e_final_gate_smoke_v1_script_imports.py; tiff/trace_net_e2e_codebase_checklist_v1.py</x:v>
      </x:c>
      <x:c r="Q160" s="71" t="n">
        <x:v>0.96</x:v>
      </x:c>
      <x:c r="R160" s="69" t="str">
        <x:v>cross-cutting validation/reliability</x:v>
      </x:c>
      <x:c r="S160" s="69" t="str">
        <x:v>Implements a runtime gate, critic, hardener, or evidence sufficiency check.</x:v>
      </x:c>
      <x:c r="T160" s="69" t="str">
        <x:v>Preserve gating semantics and old import path until focused tests pass.</x:v>
      </x:c>
      <x:c r="U160" s="69" t="str"/>
      <x:c r="V160" s="69" t="str"/>
      <x:c r="W160" s="69" t="str"/>
      <x:c r="X160" s="72" t="n">
        <x:v>28398</x:v>
      </x:c>
      <x:c r="Y160" s="70" t="b">
        <x:v>1</x:v>
      </x:c>
      <x:c r="Z160" s="69" t="str">
        <x:v>Compatibility required</x:v>
      </x:c>
      <x:c r="AA160" s="69" t="str">
        <x:v>https://github.com/jwild2027/heico-ai-internship-summer-2026/blob/srv/tiff/trace_net_e2e_final_gate_smoke_v1.py</x:v>
      </x:c>
      <x:c r="AB160" s="69" t="str">
        <x:v>shared &lt;= symbol:common, symbol:schema, string:contract, string:schema; ingestion &lt;= path:tiff; tables &lt;= string:table; embeddings &lt;= string:qdrant; retrieval &lt;= string:opensearch, string:retriev; router &lt;= string:routing</x:v>
      </x:c>
    </x:row>
    <x:row r="161">
      <x:c r="A161" s="68" t="n">
        <x:v>160</x:v>
      </x:c>
      <x:c r="B161" s="69" t="str">
        <x:v>tiff/trace_net_e2e_hybrid_retrieval_runtime_v1.py</x:v>
      </x:c>
      <x:c r="C161" s="69" t="str">
        <x:v>trace_net_e2e_hybrid_retrieval_runtime_v1.py</x:v>
      </x:c>
      <x:c r="D161" s="69" t="str">
        <x:v>benchmarks</x:v>
      </x:c>
      <x:c r="E161" s="69" t="str">
        <x:v>retrieval, serving, operations</x:v>
      </x:c>
      <x:c r="F161" s="69" t="str">
        <x:v>retrieval</x:v>
      </x:c>
      <x:c r="G161" s="69" t="str">
        <x:v>src/trace_net/retrieval/</x:v>
      </x:c>
      <x:c r="H161" s="69" t="str">
        <x:v>src/trace_net/retrieval/trace_net_e2e_hybrid_retrieval_runtime_v1.py</x:v>
      </x:c>
      <x:c r="I161" s="69" t="str">
        <x:v>runtime orchestration module</x:v>
      </x:c>
      <x:c r="J161" s="69" t="str">
        <x:v>MOVE_WITH_IMPORT_UPDATES_AND_COMPATIBILITY_WRAPPER</x:v>
      </x:c>
      <x:c r="K161" s="70" t="b">
        <x:v>1</x:v>
      </x:c>
      <x:c r="L161" s="70" t="b">
        <x:v>0</x:v>
      </x:c>
      <x:c r="M161" s="70" t="b">
        <x:v>1</x:v>
      </x:c>
      <x:c r="N161" s="69" t="n">
        <x:v>3</x:v>
      </x:c>
      <x:c r="O161" s="69" t="n">
        <x:v>1</x:v>
      </x:c>
      <x:c r="P161" s="69" t="str">
        <x:v>scripts/build_trace_net_e2e_hybrid_retrieval_runtime_v1.py; scripts/check_trace_net_e2e_hybrid_retrieval_runtime_v1_quality.py; tests/unit/test_trace_net_e2e_hybrid_retrieval_runtime_v1.py; tiff/trace_net_e2e_codebase_checklist_v1.py</x:v>
      </x:c>
      <x:c r="Q161" s="71" t="n">
        <x:v>0.96</x:v>
      </x:c>
      <x:c r="R161" s="69" t="str">
        <x:v>retrieval/search naming</x:v>
      </x:c>
      <x:c r="S161" s="69" t="str">
        <x:v>Runtime/orchestrator implementation is imported or protected.</x:v>
      </x:c>
      <x:c r="T161" s="69" t="str">
        <x:v>Preserve CLI, environment variables, and runtime chain during move.</x:v>
      </x:c>
      <x:c r="U161" s="69" t="str"/>
      <x:c r="V161" s="69" t="str"/>
      <x:c r="W161" s="69" t="str"/>
      <x:c r="X161" s="72" t="n">
        <x:v>27503</x:v>
      </x:c>
      <x:c r="Y161" s="70" t="b">
        <x:v>1</x:v>
      </x:c>
      <x:c r="Z161" s="69" t="str">
        <x:v>Compatibility required</x:v>
      </x:c>
      <x:c r="AA161" s="69" t="str">
        <x:v>https://github.com/jwild2027/heico-ai-internship-summer-2026/blob/srv/tiff/trace_net_e2e_hybrid_retrieval_runtime_v1.py</x:v>
      </x:c>
      <x:c r="AB161" s="69" t="str">
        <x:v>shared &lt;= string:contract; ingestion &lt;= path:tiff; tables &lt;= string:table; embeddings &lt;= string:qdrant; retrieval &lt;= path:retriev, symbol:retriev, string:opensearch, string:retriev; router &lt;= string:routing</x:v>
      </x:c>
    </x:row>
    <x:row r="162">
      <x:c r="A162" s="68" t="n">
        <x:v>161</x:v>
      </x:c>
      <x:c r="B162" s="69" t="str">
        <x:v>tiff/trace_net_e2e_image_visual_observer_route_v34.py</x:v>
      </x:c>
      <x:c r="C162" s="69" t="str">
        <x:v>trace_net_e2e_image_visual_observer_route_v34.py</x:v>
      </x:c>
      <x:c r="D162" s="69" t="str">
        <x:v>serving</x:v>
      </x:c>
      <x:c r="E162" s="69" t="str">
        <x:v>visual</x:v>
      </x:c>
      <x:c r="F162" s="69" t="str">
        <x:v>serving</x:v>
      </x:c>
      <x:c r="G162" s="69" t="str">
        <x:v>src/trace_net/serving/</x:v>
      </x:c>
      <x:c r="H162" s="69" t="str">
        <x:v>src/trace_net/serving/trace_net_e2e_image_visual_observer_route_v34.py</x:v>
      </x:c>
      <x:c r="I162" s="69" t="str">
        <x:v>serving/runtime module</x:v>
      </x:c>
      <x:c r="J162" s="69" t="str">
        <x:v>MOVE_WITH_PROTECTED_COMPATIBILITY_WRAPPER</x:v>
      </x:c>
      <x:c r="K162" s="70" t="b">
        <x:v>1</x:v>
      </x:c>
      <x:c r="L162" s="70" t="b">
        <x:v>1</x:v>
      </x:c>
      <x:c r="M162" s="70" t="b">
        <x:v>1</x:v>
      </x:c>
      <x:c r="N162" s="69" t="n">
        <x:v>4</x:v>
      </x:c>
      <x:c r="O162" s="69" t="n">
        <x:v>0</x:v>
      </x:c>
      <x:c r="P162" s="69" t="str">
        <x:v>scripts/build_trace_net_e2e_image_visual_observer_route_v34.py; scripts/check_trace_net_e2e_image_visual_observer_route_v34_quality.py; scripts/serve_trace_net_e2e_image_visual_observer_route_v34.py; tests/unit/test_trace_net_e2e_image_visual_observer_route_v34.py</x:v>
      </x:c>
      <x:c r="Q162" s="71" t="n">
        <x:v>0.98</x:v>
      </x:c>
      <x:c r="R162" s="69" t="str">
        <x:v>visual/image/vision naming</x:v>
      </x:c>
      <x:c r="S162" s="69" t="str">
        <x:v>API, endpoint, server, bridge, or console implementation used by runtime callers.</x:v>
      </x:c>
      <x:c r="T162" s="69" t="str">
        <x:v>Old entrypoint must remain callable; verify relevant ports and OpenWebUI behavior.</x:v>
      </x:c>
      <x:c r="U162" s="69" t="str">
        <x:v>8029, 11434</x:v>
      </x:c>
      <x:c r="V162" s="69" t="str"/>
      <x:c r="W162" s="69" t="str">
        <x:v>tiff/trace_net_e2e_image_visual_observer_route_v34_1.py; tiff/trace_net_e2e_image_visual_observer_route_v34_2.py; tiff/trace_net_e2e_image_visual_observer_route_v34_3.py</x:v>
      </x:c>
      <x:c r="X162" s="72" t="n">
        <x:v>39738</x:v>
      </x:c>
      <x:c r="Y162" s="70" t="b">
        <x:v>1</x:v>
      </x:c>
      <x:c r="Z162" s="69" t="str">
        <x:v>Protected runtime</x:v>
      </x:c>
      <x:c r="AA162" s="69" t="str">
        <x:v>https://github.com/jwild2027/heico-ai-internship-summer-2026/blob/srv/tiff/trace_net_e2e_image_visual_observer_route_v34.py</x:v>
      </x:c>
      <x:c r="AB162" s="69" t="str">
        <x:v>ingestion &lt;= path:tiff, symbol:extract_page, string:page_image; visual &lt;= path:image_visual, path:visual, symbol:llava, symbol:vision, symbol:visual, string:callout, string:diagram, string:image_visual; tables &lt;= symbol:table, string:table; graph &lt;= string:graph; embeddings &lt;= string:qdrant; retrieval &lt;= string:opensearch</x:v>
      </x:c>
    </x:row>
    <x:row r="163">
      <x:c r="A163" s="68" t="n">
        <x:v>162</x:v>
      </x:c>
      <x:c r="B163" s="69" t="str">
        <x:v>tiff/trace_net_e2e_image_visual_observer_route_v34_1.py</x:v>
      </x:c>
      <x:c r="C163" s="69" t="str">
        <x:v>trace_net_e2e_image_visual_observer_route_v34_1.py</x:v>
      </x:c>
      <x:c r="D163" s="69" t="str">
        <x:v>serving</x:v>
      </x:c>
      <x:c r="E163" s="69" t="str">
        <x:v>visual</x:v>
      </x:c>
      <x:c r="F163" s="69" t="str">
        <x:v>serving</x:v>
      </x:c>
      <x:c r="G163" s="69" t="str">
        <x:v>src/trace_net/serving/</x:v>
      </x:c>
      <x:c r="H163" s="69" t="str">
        <x:v>src/trace_net/serving/trace_net_e2e_image_visual_observer_route_v34_1.py</x:v>
      </x:c>
      <x:c r="I163" s="69" t="str">
        <x:v>serving/runtime module</x:v>
      </x:c>
      <x:c r="J163" s="69" t="str">
        <x:v>MOVE_WITH_PROTECTED_COMPATIBILITY_WRAPPER</x:v>
      </x:c>
      <x:c r="K163" s="70" t="b">
        <x:v>1</x:v>
      </x:c>
      <x:c r="L163" s="70" t="b">
        <x:v>1</x:v>
      </x:c>
      <x:c r="M163" s="70" t="b">
        <x:v>1</x:v>
      </x:c>
      <x:c r="N163" s="69" t="n">
        <x:v>4</x:v>
      </x:c>
      <x:c r="O163" s="69" t="n">
        <x:v>0</x:v>
      </x:c>
      <x:c r="P163" s="69" t="str">
        <x:v>scripts/build_trace_net_e2e_image_visual_observer_route_v34_1.py; scripts/check_trace_net_e2e_image_visual_observer_route_v34_1_quality.py; scripts/serve_trace_net_e2e_image_visual_observer_route_v34_1.py; tests/unit/test_trace_net_e2e_image_visual_observer_route_v34_1.py</x:v>
      </x:c>
      <x:c r="Q163" s="71" t="n">
        <x:v>0.98</x:v>
      </x:c>
      <x:c r="R163" s="69" t="str">
        <x:v>visual/image/vision naming</x:v>
      </x:c>
      <x:c r="S163" s="69" t="str">
        <x:v>API, endpoint, server, bridge, or console implementation used by runtime callers.</x:v>
      </x:c>
      <x:c r="T163" s="69" t="str">
        <x:v>Old entrypoint must remain callable; verify relevant ports and OpenWebUI behavior.</x:v>
      </x:c>
      <x:c r="U163" s="69" t="str">
        <x:v>8029, 11434</x:v>
      </x:c>
      <x:c r="V163" s="69" t="str"/>
      <x:c r="W163" s="69" t="str">
        <x:v>tiff/trace_net_e2e_image_visual_observer_route_v34_2.py; tiff/trace_net_e2e_image_visual_observer_route_v34_3.py</x:v>
      </x:c>
      <x:c r="X163" s="72" t="n">
        <x:v>46769</x:v>
      </x:c>
      <x:c r="Y163" s="70" t="b">
        <x:v>1</x:v>
      </x:c>
      <x:c r="Z163" s="69" t="str">
        <x:v>Protected runtime</x:v>
      </x:c>
      <x:c r="AA163" s="69" t="str">
        <x:v>https://github.com/jwild2027/heico-ai-internship-summer-2026/blob/srv/tiff/trace_net_e2e_image_visual_observer_route_v34_1.py</x:v>
      </x:c>
      <x:c r="AB163" s="69" t="str">
        <x:v>ingestion &lt;= path:tiff, symbol:extract_page, string:page_image; visual &lt;= path:image_visual, path:visual, symbol:diagram, symbol:llava, symbol:vision, symbol:visual, string:callout, string:diagram; tables &lt;= symbol:table, string:table; graph &lt;= string:graph; embeddings &lt;= string:qdrant; retrieval &lt;= string:opensearch</x:v>
      </x:c>
    </x:row>
    <x:row r="164">
      <x:c r="A164" s="68" t="n">
        <x:v>163</x:v>
      </x:c>
      <x:c r="B164" s="69" t="str">
        <x:v>tiff/trace_net_e2e_image_visual_observer_route_v34_2.py</x:v>
      </x:c>
      <x:c r="C164" s="69" t="str">
        <x:v>trace_net_e2e_image_visual_observer_route_v34_2.py</x:v>
      </x:c>
      <x:c r="D164" s="69" t="str">
        <x:v>serving</x:v>
      </x:c>
      <x:c r="E164" s="69" t="str">
        <x:v>visual</x:v>
      </x:c>
      <x:c r="F164" s="69" t="str">
        <x:v>serving</x:v>
      </x:c>
      <x:c r="G164" s="69" t="str">
        <x:v>src/trace_net/serving/</x:v>
      </x:c>
      <x:c r="H164" s="69" t="str">
        <x:v>src/trace_net/serving/trace_net_e2e_image_visual_observer_route_v34_2.py</x:v>
      </x:c>
      <x:c r="I164" s="69" t="str">
        <x:v>serving/runtime module</x:v>
      </x:c>
      <x:c r="J164" s="69" t="str">
        <x:v>MOVE_WITH_PROTECTED_COMPATIBILITY_WRAPPER</x:v>
      </x:c>
      <x:c r="K164" s="70" t="b">
        <x:v>1</x:v>
      </x:c>
      <x:c r="L164" s="70" t="b">
        <x:v>1</x:v>
      </x:c>
      <x:c r="M164" s="70" t="b">
        <x:v>1</x:v>
      </x:c>
      <x:c r="N164" s="69" t="n">
        <x:v>4</x:v>
      </x:c>
      <x:c r="O164" s="69" t="n">
        <x:v>0</x:v>
      </x:c>
      <x:c r="P164" s="69" t="str">
        <x:v>scripts/build_trace_net_e2e_image_visual_observer_route_v34_2.py; scripts/check_trace_net_e2e_image_visual_observer_route_v34_2_quality.py; scripts/serve_trace_net_e2e_image_visual_observer_route_v34_2.py; tests/unit/test_trace_net_e2e_image_visual_observer_route_v34_2.py</x:v>
      </x:c>
      <x:c r="Q164" s="71" t="n">
        <x:v>0.98</x:v>
      </x:c>
      <x:c r="R164" s="69" t="str">
        <x:v>visual/image/vision naming</x:v>
      </x:c>
      <x:c r="S164" s="69" t="str">
        <x:v>API, endpoint, server, bridge, or console implementation used by runtime callers.</x:v>
      </x:c>
      <x:c r="T164" s="69" t="str">
        <x:v>Old entrypoint must remain callable; verify relevant ports and OpenWebUI behavior.</x:v>
      </x:c>
      <x:c r="U164" s="69" t="str">
        <x:v>8031, 11434</x:v>
      </x:c>
      <x:c r="V164" s="69" t="str"/>
      <x:c r="W164" s="69" t="str">
        <x:v>tiff/trace_net_e2e_image_visual_observer_route_v34_3.py</x:v>
      </x:c>
      <x:c r="X164" s="72" t="n">
        <x:v>61966</x:v>
      </x:c>
      <x:c r="Y164" s="70" t="b">
        <x:v>1</x:v>
      </x:c>
      <x:c r="Z164" s="69" t="str">
        <x:v>Protected runtime</x:v>
      </x:c>
      <x:c r="AA164" s="69" t="str">
        <x:v>https://github.com/jwild2027/heico-ai-internship-summer-2026/blob/srv/tiff/trace_net_e2e_image_visual_observer_route_v34_2.py</x:v>
      </x:c>
      <x:c r="AB164" s="69" t="str">
        <x:v>ingestion &lt;= path:tiff, symbol:extract_page; ocr &lt;= symbol:ocr, import:tesseract, string:ocr, string:tesseract; visual &lt;= path:image_visual, path:visual, symbol:diagram, symbol:llava, symbol:vision, symbol:visual, string:callout, string:diagram; tables &lt;= symbol:table, string:table; graph &lt;= string:graph; embeddings &lt;= string:qdrant</x:v>
      </x:c>
    </x:row>
    <x:row r="165">
      <x:c r="A165" s="68" t="n">
        <x:v>164</x:v>
      </x:c>
      <x:c r="B165" s="69" t="str">
        <x:v>tiff/trace_net_e2e_image_visual_observer_route_v34_3.py</x:v>
      </x:c>
      <x:c r="C165" s="69" t="str">
        <x:v>trace_net_e2e_image_visual_observer_route_v34_3.py</x:v>
      </x:c>
      <x:c r="D165" s="69" t="str">
        <x:v>serving</x:v>
      </x:c>
      <x:c r="E165" s="69" t="str">
        <x:v>visual</x:v>
      </x:c>
      <x:c r="F165" s="69" t="str">
        <x:v>serving</x:v>
      </x:c>
      <x:c r="G165" s="69" t="str">
        <x:v>src/trace_net/serving/</x:v>
      </x:c>
      <x:c r="H165" s="69" t="str">
        <x:v>src/trace_net/serving/trace_net_e2e_image_visual_observer_route_v34_3.py</x:v>
      </x:c>
      <x:c r="I165" s="69" t="str">
        <x:v>serving/runtime module</x:v>
      </x:c>
      <x:c r="J165" s="69" t="str">
        <x:v>MOVE_WITH_PROTECTED_COMPATIBILITY_WRAPPER</x:v>
      </x:c>
      <x:c r="K165" s="70" t="b">
        <x:v>1</x:v>
      </x:c>
      <x:c r="L165" s="70" t="b">
        <x:v>1</x:v>
      </x:c>
      <x:c r="M165" s="70" t="b">
        <x:v>1</x:v>
      </x:c>
      <x:c r="N165" s="69" t="n">
        <x:v>5</x:v>
      </x:c>
      <x:c r="O165" s="69" t="n">
        <x:v>0</x:v>
      </x:c>
      <x:c r="P165" s="69" t="str">
        <x:v>scripts/build_trace_net_e2e_image_visual_observer_route_v34_3.py; scripts/check_trace_net_e2e_image_visual_observer_route_v34_3_quality.py; scripts/serve_trace_net_e2e_image_visual_observer_route_v34_3.py; tests/unit/test_trace_net_e2e_image_visual_observer_route_v34_3.py; tiff/trace_net_e2e_route_scoped_visual_context_builder_v35.py</x:v>
      </x:c>
      <x:c r="Q165" s="71" t="n">
        <x:v>0.98</x:v>
      </x:c>
      <x:c r="R165" s="69" t="str">
        <x:v>visual/image/vision naming</x:v>
      </x:c>
      <x:c r="S165" s="69" t="str">
        <x:v>API, endpoint, server, bridge, or console implementation used by runtime callers.</x:v>
      </x:c>
      <x:c r="T165" s="69" t="str">
        <x:v>Old entrypoint must remain callable; verify relevant ports and OpenWebUI behavior.</x:v>
      </x:c>
      <x:c r="U165" s="69" t="str">
        <x:v>8032, 11434</x:v>
      </x:c>
      <x:c r="V165" s="69" t="str"/>
      <x:c r="W165" s="69" t="str"/>
      <x:c r="X165" s="72" t="n">
        <x:v>80561</x:v>
      </x:c>
      <x:c r="Y165" s="70" t="b">
        <x:v>1</x:v>
      </x:c>
      <x:c r="Z165" s="69" t="str">
        <x:v>Protected runtime</x:v>
      </x:c>
      <x:c r="AA165" s="69" t="str">
        <x:v>https://github.com/jwild2027/heico-ai-internship-summer-2026/blob/srv/tiff/trace_net_e2e_image_visual_observer_route_v34_3.py</x:v>
      </x:c>
      <x:c r="AB165" s="69" t="str">
        <x:v>ingestion &lt;= path:tiff, symbol:extract_page; ocr &lt;= symbol:ocr, import:tesseract, string:ocr, string:tesseract; visual &lt;= path:image_visual, path:visual, symbol:diagram, symbol:llava, symbol:vision, symbol:visual, string:callout, string:diagram; tables &lt;= symbol:table, string:table; graph &lt;= string:graph; embeddings &lt;= string:qdrant</x:v>
      </x:c>
    </x:row>
    <x:row r="166">
      <x:c r="A166" s="68" t="n">
        <x:v>165</x:v>
      </x:c>
      <x:c r="B166" s="69" t="str">
        <x:v>tiff/trace_net_e2e_live_deterministic_answer_planner_v28.py</x:v>
      </x:c>
      <x:c r="C166" s="69" t="str">
        <x:v>trace_net_e2e_live_deterministic_answer_planner_v28.py</x:v>
      </x:c>
      <x:c r="D166" s="69" t="str">
        <x:v>serving</x:v>
      </x:c>
      <x:c r="E166" s="69" t="str">
        <x:v>ingestion, benchmarks</x:v>
      </x:c>
      <x:c r="F166" s="69" t="str">
        <x:v>serving</x:v>
      </x:c>
      <x:c r="G166" s="69" t="str">
        <x:v>src/trace_net/serving/</x:v>
      </x:c>
      <x:c r="H166" s="69" t="str">
        <x:v>src/trace_net/serving/trace_net_e2e_live_deterministic_answer_planner_v28.py</x:v>
      </x:c>
      <x:c r="I166" s="69" t="str">
        <x:v>active library module</x:v>
      </x:c>
      <x:c r="J166" s="69" t="str">
        <x:v>MOVE_WITH_PROTECTED_COMPATIBILITY_WRAPPER</x:v>
      </x:c>
      <x:c r="K166" s="70" t="b">
        <x:v>1</x:v>
      </x:c>
      <x:c r="L166" s="70" t="b">
        <x:v>1</x:v>
      </x:c>
      <x:c r="M166" s="70" t="b">
        <x:v>1</x:v>
      </x:c>
      <x:c r="N166" s="69" t="n">
        <x:v>4</x:v>
      </x:c>
      <x:c r="O166" s="69" t="n">
        <x:v>0</x:v>
      </x:c>
      <x:c r="P166" s="69" t="str">
        <x:v>scripts/build_trace_net_e2e_live_deterministic_answer_planner_v28.py; scripts/check_trace_net_e2e_live_deterministic_answer_planner_v28_quality.py; scripts/serve_trace_net_e2e_live_deterministic_answer_planner_v28.py; tests/unit/test_trace_net_e2e_live_deterministic_answer_planner_v28.py</x:v>
      </x:c>
      <x:c r="Q166" s="71" t="n">
        <x:v>0.95</x:v>
      </x:c>
      <x:c r="R166" s="69" t="str">
        <x:v>inventory stage: serving</x:v>
      </x:c>
      <x:c r="S166" s="69" t="str">
        <x:v>Primary implementation belongs to the serving stage based on filename, imports, and inventory evidence.</x:v>
      </x:c>
      <x:c r="T166" s="69" t="str">
        <x:v>Update imports and retain the old tiff module as a wrapper when callers exist.</x:v>
      </x:c>
      <x:c r="U166" s="69" t="str">
        <x:v>8023, 11434</x:v>
      </x:c>
      <x:c r="V166" s="69" t="str"/>
      <x:c r="W166" s="69" t="str"/>
      <x:c r="X166" s="72" t="n">
        <x:v>44641</x:v>
      </x:c>
      <x:c r="Y166" s="70" t="b">
        <x:v>1</x:v>
      </x:c>
      <x:c r="Z166" s="69" t="str">
        <x:v>Protected runtime</x:v>
      </x:c>
      <x:c r="AA166" s="69" t="str">
        <x:v>https://github.com/jwild2027/heico-ai-internship-summer-2026/blob/srv/tiff/trace_net_e2e_live_deterministic_answer_planner_v28.py</x:v>
      </x:c>
      <x:c r="AB166" s="69" t="str">
        <x:v>shared &lt;= string:contract; ingestion &lt;= path:tiff, import:tiff; ocr &lt;= string:ocr; tables &lt;= string:table; graph &lt;= string:community, string:graph, string:leiden, string:relationship; embeddings &lt;= string:qdrant</x:v>
      </x:c>
    </x:row>
    <x:row r="167">
      <x:c r="A167" s="68" t="n">
        <x:v>166</x:v>
      </x:c>
      <x:c r="B167" s="69" t="str">
        <x:v>tiff/trace_net_e2e_live_dynamic_fallback_v16.py</x:v>
      </x:c>
      <x:c r="C167" s="69" t="str">
        <x:v>trace_net_e2e_live_dynamic_fallback_v16.py</x:v>
      </x:c>
      <x:c r="D167" s="69" t="str">
        <x:v>serving</x:v>
      </x:c>
      <x:c r="E167" s="69" t="str">
        <x:v>validation, ingestion, benchmarks</x:v>
      </x:c>
      <x:c r="F167" s="69" t="str">
        <x:v>serving</x:v>
      </x:c>
      <x:c r="G167" s="69" t="str">
        <x:v>src/trace_net/serving/</x:v>
      </x:c>
      <x:c r="H167" s="69" t="str">
        <x:v>src/trace_net/serving/trace_net_e2e_live_dynamic_fallback_v16.py</x:v>
      </x:c>
      <x:c r="I167" s="69" t="str">
        <x:v>active library module</x:v>
      </x:c>
      <x:c r="J167" s="69" t="str">
        <x:v>MOVE_WITH_PROTECTED_COMPATIBILITY_WRAPPER</x:v>
      </x:c>
      <x:c r="K167" s="70" t="b">
        <x:v>1</x:v>
      </x:c>
      <x:c r="L167" s="70" t="b">
        <x:v>1</x:v>
      </x:c>
      <x:c r="M167" s="70" t="b">
        <x:v>1</x:v>
      </x:c>
      <x:c r="N167" s="69" t="n">
        <x:v>4</x:v>
      </x:c>
      <x:c r="O167" s="69" t="n">
        <x:v>0</x:v>
      </x:c>
      <x:c r="P167" s="69" t="str">
        <x:v>scripts/build_trace_net_e2e_live_dynamic_fallback_v16.py; scripts/check_trace_net_e2e_live_dynamic_fallback_v16_quality.py; scripts/serve_trace_net_e2e_live_dynamic_fallback_v16.py; tests/unit/test_trace_net_e2e_live_dynamic_fallback_v16.py</x:v>
      </x:c>
      <x:c r="Q167" s="71" t="n">
        <x:v>0.95</x:v>
      </x:c>
      <x:c r="R167" s="69" t="str">
        <x:v>inventory stage: serving</x:v>
      </x:c>
      <x:c r="S167" s="69" t="str">
        <x:v>Primary implementation belongs to the serving stage based on filename, imports, and inventory evidence.</x:v>
      </x:c>
      <x:c r="T167" s="69" t="str">
        <x:v>Update imports and retain the old tiff module as a wrapper when callers exist.</x:v>
      </x:c>
      <x:c r="U167" s="69" t="str">
        <x:v>8019</x:v>
      </x:c>
      <x:c r="V167" s="69" t="str"/>
      <x:c r="W167" s="69" t="str"/>
      <x:c r="X167" s="72" t="n">
        <x:v>36407</x:v>
      </x:c>
      <x:c r="Y167" s="70" t="b">
        <x:v>1</x:v>
      </x:c>
      <x:c r="Z167" s="69" t="str">
        <x:v>Protected runtime</x:v>
      </x:c>
      <x:c r="AA167" s="69" t="str">
        <x:v>https://github.com/jwild2027/heico-ai-internship-summer-2026/blob/srv/tiff/trace_net_e2e_live_dynamic_fallback_v16.py</x:v>
      </x:c>
      <x:c r="AB167" s="69" t="str">
        <x:v>shared &lt;= string:contract, string:schema; ingestion &lt;= path:tiff, import:tiff; ocr &lt;= string:ocr; tables &lt;= string:table; graph &lt;= string:graph; embeddings &lt;= string:embedding, string:qdrant</x:v>
      </x:c>
    </x:row>
    <x:row r="168">
      <x:c r="A168" s="68" t="n">
        <x:v>167</x:v>
      </x:c>
      <x:c r="B168" s="69" t="str">
        <x:v>tiff/trace_net_e2e_live_eval_latency_harness_v26.py</x:v>
      </x:c>
      <x:c r="C168" s="69" t="str">
        <x:v>trace_net_e2e_live_eval_latency_harness_v26.py</x:v>
      </x:c>
      <x:c r="D168" s="69" t="str">
        <x:v>benchmarks</x:v>
      </x:c>
      <x:c r="E168" s="69" t="str">
        <x:v>serving</x:v>
      </x:c>
      <x:c r="F168" s="69" t="str">
        <x:v>validation</x:v>
      </x:c>
      <x:c r="G168" s="69" t="str">
        <x:v>src/trace_net/validation/</x:v>
      </x:c>
      <x:c r="H168" s="69" t="str">
        <x:v>src/trace_net/validation/trace_net_e2e_live_eval_latency_harness_v26.py</x:v>
      </x:c>
      <x:c r="I168" s="69" t="str">
        <x:v>active library module</x:v>
      </x:c>
      <x:c r="J168" s="69" t="str">
        <x:v>MOVE_WITH_IMPORT_UPDATES_AND_COMPATIBILITY_WRAPPER</x:v>
      </x:c>
      <x:c r="K168" s="70" t="b">
        <x:v>1</x:v>
      </x:c>
      <x:c r="L168" s="70" t="b">
        <x:v>0</x:v>
      </x:c>
      <x:c r="M168" s="70" t="b">
        <x:v>1</x:v>
      </x:c>
      <x:c r="N168" s="69" t="n">
        <x:v>3</x:v>
      </x:c>
      <x:c r="O168" s="69" t="n">
        <x:v>0</x:v>
      </x:c>
      <x:c r="P168" s="69" t="str">
        <x:v>scripts/build_trace_net_e2e_live_eval_latency_harness_v26.py; scripts/check_trace_net_e2e_live_eval_latency_harness_v26_quality.py; tests/unit/test_trace_net_e2e_live_eval_latency_harness_v26.py</x:v>
      </x:c>
      <x:c r="Q168" s="71" t="n">
        <x:v>0.95</x:v>
      </x:c>
      <x:c r="R168" s="69" t="str">
        <x:v>inventory stage: benchmarks</x:v>
      </x:c>
      <x:c r="S168" s="69" t="str">
        <x:v>Primary implementation belongs to the validation stage based on filename, imports, and inventory evidence.</x:v>
      </x:c>
      <x:c r="T168" s="69" t="str">
        <x:v>Update imports and retain the old tiff module as a wrapper when callers exist.</x:v>
      </x:c>
      <x:c r="U168" s="69" t="str"/>
      <x:c r="V168" s="69" t="str"/>
      <x:c r="W168" s="69" t="str"/>
      <x:c r="X168" s="72" t="n">
        <x:v>22910</x:v>
      </x:c>
      <x:c r="Y168" s="70" t="b">
        <x:v>1</x:v>
      </x:c>
      <x:c r="Z168" s="69" t="str">
        <x:v>Compatibility required</x:v>
      </x:c>
      <x:c r="AA168" s="69" t="str">
        <x:v>https://github.com/jwild2027/heico-ai-internship-summer-2026/blob/srv/tiff/trace_net_e2e_live_eval_latency_harness_v26.py</x:v>
      </x:c>
      <x:c r="AB168" s="69" t="str">
        <x:v>shared &lt;= string:contract; ingestion &lt;= path:tiff; ocr &lt;= string:ocr; tables &lt;= string:table; graph &lt;= string:graph; retrieval &lt;= string:retriev</x:v>
      </x:c>
    </x:row>
    <x:row r="169">
      <x:c r="A169" s="68" t="n">
        <x:v>168</x:v>
      </x:c>
      <x:c r="B169" s="69" t="str">
        <x:v>tiff/trace_net_e2e_live_gemma_answer_writer_endpoint_v32.py</x:v>
      </x:c>
      <x:c r="C169" s="69" t="str">
        <x:v>trace_net_e2e_live_gemma_answer_writer_endpoint_v32.py</x:v>
      </x:c>
      <x:c r="D169" s="69" t="str">
        <x:v>llm_writing</x:v>
      </x:c>
      <x:c r="E169" s="69" t="str">
        <x:v>serving</x:v>
      </x:c>
      <x:c r="F169" s="69" t="str">
        <x:v>serving</x:v>
      </x:c>
      <x:c r="G169" s="69" t="str">
        <x:v>src/trace_net/serving/</x:v>
      </x:c>
      <x:c r="H169" s="69" t="str">
        <x:v>src/trace_net/serving/trace_net_e2e_live_gemma_answer_writer_endpoint_v32.py</x:v>
      </x:c>
      <x:c r="I169" s="69" t="str">
        <x:v>serving/runtime module</x:v>
      </x:c>
      <x:c r="J169" s="69" t="str">
        <x:v>MOVE_WITH_PROTECTED_COMPATIBILITY_WRAPPER</x:v>
      </x:c>
      <x:c r="K169" s="70" t="b">
        <x:v>1</x:v>
      </x:c>
      <x:c r="L169" s="70" t="b">
        <x:v>1</x:v>
      </x:c>
      <x:c r="M169" s="70" t="b">
        <x:v>1</x:v>
      </x:c>
      <x:c r="N169" s="69" t="n">
        <x:v>4</x:v>
      </x:c>
      <x:c r="O169" s="69" t="n">
        <x:v>0</x:v>
      </x:c>
      <x:c r="P169" s="69" t="str">
        <x:v>scripts/build_trace_net_e2e_live_gemma_answer_writer_endpoint_v32.py; scripts/check_trace_net_e2e_live_gemma_answer_writer_endpoint_v32_quality.py; scripts/serve_trace_net_e2e_live_gemma_answer_writer_endpoint_v32.py; tests/unit/test_trace_net_e2e_live_gemma_answer_writer_endpoint_v32.py</x:v>
      </x:c>
      <x:c r="Q169" s="71" t="n">
        <x:v>0.98</x:v>
      </x:c>
      <x:c r="R169" s="69" t="str">
        <x:v>answer/writer naming</x:v>
      </x:c>
      <x:c r="S169" s="69" t="str">
        <x:v>API, endpoint, server, bridge, or console implementation used by runtime callers.</x:v>
      </x:c>
      <x:c r="T169" s="69" t="str">
        <x:v>Old entrypoint must remain callable; verify relevant ports and OpenWebUI behavior.</x:v>
      </x:c>
      <x:c r="U169" s="69" t="str">
        <x:v>8027, 11434</x:v>
      </x:c>
      <x:c r="V169" s="69" t="str"/>
      <x:c r="W169" s="69" t="str">
        <x:v>tiff/trace_net_e2e_live_gemma_answer_writer_endpoint_v33.py</x:v>
      </x:c>
      <x:c r="X169" s="72" t="n">
        <x:v>69519</x:v>
      </x:c>
      <x:c r="Y169" s="70" t="b">
        <x:v>1</x:v>
      </x:c>
      <x:c r="Z169" s="69" t="str">
        <x:v>Protected runtime</x:v>
      </x:c>
      <x:c r="AA169" s="69" t="str">
        <x:v>https://github.com/jwild2027/heico-ai-internship-summer-2026/blob/srv/tiff/trace_net_e2e_live_gemma_answer_writer_endpoint_v32.py</x:v>
      </x:c>
      <x:c r="AB169" s="69" t="str">
        <x:v>shared &lt;= string:contract; ingestion &lt;= path:tiff, symbol:extract_page; tables &lt;= symbol:table, string:ipl, string:table; graph &lt;= symbol:leiden, string:graph, string:has_context, string:has_nomenclature, string:leiden; embeddings &lt;= string:qdrant; retrieval &lt;= string:opensearch</x:v>
      </x:c>
    </x:row>
    <x:row r="170">
      <x:c r="A170" s="68" t="n">
        <x:v>169</x:v>
      </x:c>
      <x:c r="B170" s="69" t="str">
        <x:v>tiff/trace_net_e2e_live_gemma_answer_writer_endpoint_v33.py</x:v>
      </x:c>
      <x:c r="C170" s="69" t="str">
        <x:v>trace_net_e2e_live_gemma_answer_writer_endpoint_v33.py</x:v>
      </x:c>
      <x:c r="D170" s="69" t="str">
        <x:v>llm_writing</x:v>
      </x:c>
      <x:c r="E170" s="69" t="str">
        <x:v>serving, validation</x:v>
      </x:c>
      <x:c r="F170" s="69" t="str">
        <x:v>serving</x:v>
      </x:c>
      <x:c r="G170" s="69" t="str">
        <x:v>src/trace_net/serving/</x:v>
      </x:c>
      <x:c r="H170" s="69" t="str">
        <x:v>src/trace_net/serving/trace_net_e2e_live_gemma_answer_writer_endpoint_v33.py</x:v>
      </x:c>
      <x:c r="I170" s="69" t="str">
        <x:v>serving/runtime module</x:v>
      </x:c>
      <x:c r="J170" s="69" t="str">
        <x:v>MOVE_WITH_PROTECTED_COMPATIBILITY_WRAPPER</x:v>
      </x:c>
      <x:c r="K170" s="70" t="b">
        <x:v>1</x:v>
      </x:c>
      <x:c r="L170" s="70" t="b">
        <x:v>1</x:v>
      </x:c>
      <x:c r="M170" s="70" t="b">
        <x:v>1</x:v>
      </x:c>
      <x:c r="N170" s="69" t="n">
        <x:v>4</x:v>
      </x:c>
      <x:c r="O170" s="69" t="n">
        <x:v>0</x:v>
      </x:c>
      <x:c r="P170" s="69" t="str">
        <x:v>scripts/build_trace_net_e2e_live_gemma_answer_writer_endpoint_v33.py; scripts/check_trace_net_e2e_live_gemma_answer_writer_endpoint_v33_quality.py; scripts/serve_trace_net_e2e_live_gemma_answer_writer_endpoint_v33.py; tests/unit/test_trace_net_e2e_live_gemma_answer_writer_endpoint_v33.py</x:v>
      </x:c>
      <x:c r="Q170" s="71" t="n">
        <x:v>0.98</x:v>
      </x:c>
      <x:c r="R170" s="69" t="str">
        <x:v>answer/writer naming</x:v>
      </x:c>
      <x:c r="S170" s="69" t="str">
        <x:v>API, endpoint, server, bridge, or console implementation used by runtime callers.</x:v>
      </x:c>
      <x:c r="T170" s="69" t="str">
        <x:v>Old entrypoint must remain callable; verify relevant ports and OpenWebUI behavior.</x:v>
      </x:c>
      <x:c r="U170" s="69" t="str">
        <x:v>8027, 11434</x:v>
      </x:c>
      <x:c r="V170" s="69" t="str"/>
      <x:c r="W170" s="69" t="str"/>
      <x:c r="X170" s="72" t="n">
        <x:v>81005</x:v>
      </x:c>
      <x:c r="Y170" s="70" t="b">
        <x:v>1</x:v>
      </x:c>
      <x:c r="Z170" s="69" t="str">
        <x:v>Protected runtime</x:v>
      </x:c>
      <x:c r="AA170" s="69" t="str">
        <x:v>https://github.com/jwild2027/heico-ai-internship-summer-2026/blob/srv/tiff/trace_net_e2e_live_gemma_answer_writer_endpoint_v33.py</x:v>
      </x:c>
      <x:c r="AB170" s="69" t="str">
        <x:v>ingestion &lt;= path:tiff, symbol:extract_page; tables &lt;= symbol:table, string:ipl, string:table; graph &lt;= symbol:leiden, string:graph, string:has_context, string:has_nomenclature, string:leiden; embeddings &lt;= string:qdrant; retrieval &lt;= string:opensearch; router &lt;= symbol:router</x:v>
      </x:c>
    </x:row>
    <x:row r="171">
      <x:c r="A171" s="68" t="n">
        <x:v>170</x:v>
      </x:c>
      <x:c r="B171" s="69" t="str">
        <x:v>tiff/trace_net_e2e_live_llm_draft_adapter_v22.py</x:v>
      </x:c>
      <x:c r="C171" s="69" t="str">
        <x:v>trace_net_e2e_live_llm_draft_adapter_v22.py</x:v>
      </x:c>
      <x:c r="D171" s="69" t="str">
        <x:v>serving</x:v>
      </x:c>
      <x:c r="E171" s="69" t="str">
        <x:v>benchmarks, ingestion, shared</x:v>
      </x:c>
      <x:c r="F171" s="69" t="str">
        <x:v>serving</x:v>
      </x:c>
      <x:c r="G171" s="69" t="str">
        <x:v>src/trace_net/serving/</x:v>
      </x:c>
      <x:c r="H171" s="69" t="str">
        <x:v>src/trace_net/serving/trace_net_e2e_live_llm_draft_adapter_v22.py</x:v>
      </x:c>
      <x:c r="I171" s="69" t="str">
        <x:v>active library module</x:v>
      </x:c>
      <x:c r="J171" s="69" t="str">
        <x:v>MOVE_WITH_PROTECTED_COMPATIBILITY_WRAPPER</x:v>
      </x:c>
      <x:c r="K171" s="70" t="b">
        <x:v>1</x:v>
      </x:c>
      <x:c r="L171" s="70" t="b">
        <x:v>1</x:v>
      </x:c>
      <x:c r="M171" s="70" t="b">
        <x:v>1</x:v>
      </x:c>
      <x:c r="N171" s="69" t="n">
        <x:v>3</x:v>
      </x:c>
      <x:c r="O171" s="69" t="n">
        <x:v>0</x:v>
      </x:c>
      <x:c r="P171" s="69" t="str">
        <x:v>scripts/build_trace_net_e2e_live_llm_draft_adapter_v22.py; scripts/check_trace_net_e2e_live_llm_draft_adapter_v22_quality.py; tests/unit/test_trace_net_e2e_live_llm_draft_adapter_v22.py</x:v>
      </x:c>
      <x:c r="Q171" s="71" t="n">
        <x:v>0.95</x:v>
      </x:c>
      <x:c r="R171" s="69" t="str">
        <x:v>inventory stage: serving</x:v>
      </x:c>
      <x:c r="S171" s="69" t="str">
        <x:v>Primary implementation belongs to the serving stage based on filename, imports, and inventory evidence.</x:v>
      </x:c>
      <x:c r="T171" s="69" t="str">
        <x:v>Update imports and retain the old tiff module as a wrapper when callers exist.</x:v>
      </x:c>
      <x:c r="U171" s="69" t="str">
        <x:v>11434</x:v>
      </x:c>
      <x:c r="V171" s="69" t="str"/>
      <x:c r="W171" s="69" t="str"/>
      <x:c r="X171" s="72" t="n">
        <x:v>29301</x:v>
      </x:c>
      <x:c r="Y171" s="70" t="b">
        <x:v>1</x:v>
      </x:c>
      <x:c r="Z171" s="69" t="str">
        <x:v>Protected runtime</x:v>
      </x:c>
      <x:c r="AA171" s="69" t="str">
        <x:v>https://github.com/jwild2027/heico-ai-internship-summer-2026/blob/srv/tiff/trace_net_e2e_live_llm_draft_adapter_v22.py</x:v>
      </x:c>
      <x:c r="AB171" s="69" t="str">
        <x:v>shared &lt;= symbol:contract, string:contract; ingestion &lt;= path:tiff; graph &lt;= string:graph, string:leiden; llm_writing &lt;= string:gemma; validation &lt;= string:crag, string:self_rag; serving &lt;= import:sse, string:api, string:http, string:sse</x:v>
      </x:c>
    </x:row>
    <x:row r="172">
      <x:c r="A172" s="68" t="n">
        <x:v>171</x:v>
      </x:c>
      <x:c r="B172" s="69" t="str">
        <x:v>tiff/trace_net_e2e_live_llm_final_gate_v23.py</x:v>
      </x:c>
      <x:c r="C172" s="69" t="str">
        <x:v>trace_net_e2e_live_llm_final_gate_v23.py</x:v>
      </x:c>
      <x:c r="D172" s="69" t="str">
        <x:v>benchmarks</x:v>
      </x:c>
      <x:c r="E172" s="69" t="str">
        <x:v>ingestion, context, llm_writing, shared</x:v>
      </x:c>
      <x:c r="F172" s="69" t="str">
        <x:v>validation</x:v>
      </x:c>
      <x:c r="G172" s="69" t="str">
        <x:v>src/trace_net/validation/</x:v>
      </x:c>
      <x:c r="H172" s="69" t="str">
        <x:v>src/trace_net/validation/trace_net_e2e_live_llm_final_gate_v23.py</x:v>
      </x:c>
      <x:c r="I172" s="69" t="str">
        <x:v>runtime validation/gating module</x:v>
      </x:c>
      <x:c r="J172" s="69" t="str">
        <x:v>MOVE_WITH_IMPORT_UPDATES_AND_COMPATIBILITY_WRAPPER</x:v>
      </x:c>
      <x:c r="K172" s="70" t="b">
        <x:v>1</x:v>
      </x:c>
      <x:c r="L172" s="70" t="b">
        <x:v>0</x:v>
      </x:c>
      <x:c r="M172" s="70" t="b">
        <x:v>1</x:v>
      </x:c>
      <x:c r="N172" s="69" t="n">
        <x:v>3</x:v>
      </x:c>
      <x:c r="O172" s="69" t="n">
        <x:v>1</x:v>
      </x:c>
      <x:c r="P172" s="69" t="str">
        <x:v>scripts/build_trace_net_e2e_live_llm_final_gate_v23.py; scripts/check_trace_net_e2e_live_llm_final_gate_v23_quality.py; tests/unit/test_trace_net_e2e_live_llm_final_gate_v23.py; tiff/trace_net_canonical_runtime_map_v1.py</x:v>
      </x:c>
      <x:c r="Q172" s="71" t="n">
        <x:v>0.96</x:v>
      </x:c>
      <x:c r="R172" s="69" t="str">
        <x:v>validation/quality naming</x:v>
      </x:c>
      <x:c r="S172" s="69" t="str">
        <x:v>Implements a runtime gate, critic, hardener, or evidence sufficiency check.</x:v>
      </x:c>
      <x:c r="T172" s="69" t="str">
        <x:v>Preserve gating semantics and old import path until focused tests pass.</x:v>
      </x:c>
      <x:c r="U172" s="69" t="str"/>
      <x:c r="V172" s="69" t="str"/>
      <x:c r="W172" s="69" t="str"/>
      <x:c r="X172" s="72" t="n">
        <x:v>33073</x:v>
      </x:c>
      <x:c r="Y172" s="70" t="b">
        <x:v>1</x:v>
      </x:c>
      <x:c r="Z172" s="69" t="str">
        <x:v>Compatibility required</x:v>
      </x:c>
      <x:c r="AA172" s="69" t="str">
        <x:v>https://github.com/jwild2027/heico-ai-internship-summer-2026/blob/srv/tiff/trace_net_e2e_live_llm_final_gate_v23.py</x:v>
      </x:c>
      <x:c r="AB172" s="69" t="str">
        <x:v>shared &lt;= symbol:contract, string:contract; ingestion &lt;= path:tiff; tables &lt;= string:table; graph &lt;= string:graph, string:leiden; retrieval &lt;= string:high_degree; context &lt;= symbol:v2_summary, string:source_trace, string:v2_summary</x:v>
      </x:c>
    </x:row>
    <x:row r="173">
      <x:c r="A173" s="68" t="n">
        <x:v>172</x:v>
      </x:c>
      <x:c r="B173" s="69" t="str">
        <x:v>tiff/trace_net_e2e_live_llm_prompt_contract_v21.py</x:v>
      </x:c>
      <x:c r="C173" s="69" t="str">
        <x:v>trace_net_e2e_live_llm_prompt_contract_v21.py</x:v>
      </x:c>
      <x:c r="D173" s="69" t="str">
        <x:v>shared</x:v>
      </x:c>
      <x:c r="E173" s="69" t="str">
        <x:v>benchmarks, graph, context, ingestion</x:v>
      </x:c>
      <x:c r="F173" s="69" t="str">
        <x:v>core</x:v>
      </x:c>
      <x:c r="G173" s="69" t="str">
        <x:v>src/trace_net/core/</x:v>
      </x:c>
      <x:c r="H173" s="69" t="str">
        <x:v>src/trace_net/core/trace_net_e2e_live_llm_prompt_contract_v21.py</x:v>
      </x:c>
      <x:c r="I173" s="69" t="str">
        <x:v>active library module</x:v>
      </x:c>
      <x:c r="J173" s="69" t="str">
        <x:v>MOVE_WITH_IMPORT_UPDATES_AND_COMPATIBILITY_WRAPPER</x:v>
      </x:c>
      <x:c r="K173" s="70" t="b">
        <x:v>1</x:v>
      </x:c>
      <x:c r="L173" s="70" t="b">
        <x:v>0</x:v>
      </x:c>
      <x:c r="M173" s="70" t="b">
        <x:v>1</x:v>
      </x:c>
      <x:c r="N173" s="69" t="n">
        <x:v>3</x:v>
      </x:c>
      <x:c r="O173" s="69" t="n">
        <x:v>0</x:v>
      </x:c>
      <x:c r="P173" s="69" t="str">
        <x:v>scripts/build_trace_net_e2e_live_llm_prompt_contract_v21.py; scripts/check_trace_net_e2e_live_llm_prompt_contract_v21_quality.py; tests/unit/test_trace_net_e2e_live_llm_prompt_contract_v21.py</x:v>
      </x:c>
      <x:c r="Q173" s="71" t="n">
        <x:v>0.9</x:v>
      </x:c>
      <x:c r="R173" s="69" t="str">
        <x:v>shared contract/schema/adapter</x:v>
      </x:c>
      <x:c r="S173" s="69" t="str">
        <x:v>Primary implementation belongs to the core stage based on filename, imports, and inventory evidence.</x:v>
      </x:c>
      <x:c r="T173" s="69" t="str">
        <x:v>Update imports and retain the old tiff module as a wrapper when callers exist.</x:v>
      </x:c>
      <x:c r="U173" s="69" t="str"/>
      <x:c r="V173" s="69" t="str"/>
      <x:c r="W173" s="69" t="str"/>
      <x:c r="X173" s="72" t="n">
        <x:v>43230</x:v>
      </x:c>
      <x:c r="Y173" s="70" t="b">
        <x:v>1</x:v>
      </x:c>
      <x:c r="Z173" s="69" t="str">
        <x:v>Compatibility required</x:v>
      </x:c>
      <x:c r="AA173" s="69" t="str">
        <x:v>https://github.com/jwild2027/heico-ai-internship-summer-2026/blob/srv/tiff/trace_net_e2e_live_llm_prompt_contract_v21.py</x:v>
      </x:c>
      <x:c r="AB173" s="69" t="str">
        <x:v>shared &lt;= path:contract, symbol:contract, string:contract; ingestion &lt;= path:tiff; tables &lt;= string:table; graph &lt;= symbol:graph, string:community, string:graph, string:leiden, string:relationship; retrieval &lt;= string:high_degree; context &lt;= symbol:context_pack, string:context_pack, string:page_context, string:v2_summary</x:v>
      </x:c>
    </x:row>
    <x:row r="174">
      <x:c r="A174" s="68" t="n">
        <x:v>173</x:v>
      </x:c>
      <x:c r="B174" s="69" t="str">
        <x:v>tiff/trace_net_e2e_live_orchestrator_endpoint_v25.py</x:v>
      </x:c>
      <x:c r="C174" s="69" t="str">
        <x:v>trace_net_e2e_live_orchestrator_endpoint_v25.py</x:v>
      </x:c>
      <x:c r="D174" s="69" t="str">
        <x:v>serving</x:v>
      </x:c>
      <x:c r="E174" s="69" t="str">
        <x:v>tables</x:v>
      </x:c>
      <x:c r="F174" s="69" t="str">
        <x:v>serving</x:v>
      </x:c>
      <x:c r="G174" s="69" t="str">
        <x:v>src/trace_net/serving/</x:v>
      </x:c>
      <x:c r="H174" s="69" t="str">
        <x:v>src/trace_net/serving/trace_net_e2e_live_orchestrator_endpoint_v25.py</x:v>
      </x:c>
      <x:c r="I174" s="69" t="str">
        <x:v>serving/runtime module</x:v>
      </x:c>
      <x:c r="J174" s="69" t="str">
        <x:v>MOVE_WITH_PROTECTED_COMPATIBILITY_WRAPPER</x:v>
      </x:c>
      <x:c r="K174" s="70" t="b">
        <x:v>1</x:v>
      </x:c>
      <x:c r="L174" s="70" t="b">
        <x:v>1</x:v>
      </x:c>
      <x:c r="M174" s="70" t="b">
        <x:v>1</x:v>
      </x:c>
      <x:c r="N174" s="69" t="n">
        <x:v>8</x:v>
      </x:c>
      <x:c r="O174" s="69" t="n">
        <x:v>3</x:v>
      </x:c>
      <x:c r="P174" s="69" t="str">
        <x:v>scripts/build_trace_net_e2e_live_orchestrator_endpoint_v25.py; scripts/check_trace_net_e2e_live_orchestrator_endpoint_v25_quality.py; scripts/serve_trace_net_e2e_live_orchestrator_endpoint_v25.py; tests/unit/test_trace_net_e2e_live_orchestrator_endpoint_v25.py; tests/unit/test_trace_net_strict_query_planning_v1.py; tests/unit/test_trace_net_table_text_matching_v1.py; trace_net_strict_query_plan_gemma_telemetry_v1_patch/tests/unit/test_trace_net_strict_query_planning_v1.py; trace_net_table_nomenclature_builder_v2_patch/tests/unit/test_trace_net_table_text_matching_v1.py; trace_net_strict_query_plan_gemma_telemetry_v1_patch/APPLY_ME.py; trace_net_table_direct_evidence_fix_v2_1/APPLY_ME.py; … +1 more</x:v>
      </x:c>
      <x:c r="Q174" s="71" t="n">
        <x:v>0.98</x:v>
      </x:c>
      <x:c r="R174" s="69" t="str">
        <x:v>serving/API naming</x:v>
      </x:c>
      <x:c r="S174" s="69" t="str">
        <x:v>API, endpoint, server, bridge, or console implementation used by runtime callers.</x:v>
      </x:c>
      <x:c r="T174" s="69" t="str">
        <x:v>Old entrypoint must remain callable; verify relevant ports and OpenWebUI behavior.</x:v>
      </x:c>
      <x:c r="U174" s="69" t="str">
        <x:v>8021, 11434</x:v>
      </x:c>
      <x:c r="V174" s="69" t="str"/>
      <x:c r="W174" s="69" t="str"/>
      <x:c r="X174" s="72" t="n">
        <x:v>48413</x:v>
      </x:c>
      <x:c r="Y174" s="70" t="b">
        <x:v>1</x:v>
      </x:c>
      <x:c r="Z174" s="69" t="str">
        <x:v>Protected runtime</x:v>
      </x:c>
      <x:c r="AA174" s="69" t="str">
        <x:v>https://github.com/jwild2027/heico-ai-internship-summer-2026/blob/srv/tiff/trace_net_e2e_live_orchestrator_endpoint_v25.py</x:v>
      </x:c>
      <x:c r="AB174" s="69" t="str">
        <x:v>shared &lt;= string:contract; ingestion &lt;= path:tiff; ocr &lt;= string:ocr; tables &lt;= symbol:table, string:column, string:ipl, string:table; graph &lt;= symbol:leiden, string:community, string:graph, string:leiden; embeddings &lt;= string:qdrant</x:v>
      </x:c>
    </x:row>
    <x:row r="175">
      <x:c r="A175" s="68" t="n">
        <x:v>174</x:v>
      </x:c>
      <x:c r="B175" s="69" t="str">
        <x:v>tiff/trace_net_e2e_live_orchestrator_stage_timing_fastpath_v27.py</x:v>
      </x:c>
      <x:c r="C175" s="69" t="str">
        <x:v>trace_net_e2e_live_orchestrator_stage_timing_fastpath_v27.py</x:v>
      </x:c>
      <x:c r="D175" s="69" t="str">
        <x:v>serving</x:v>
      </x:c>
      <x:c r="E175" s="69" t="str">
        <x:v>router, ingestion, benchmarks, operations</x:v>
      </x:c>
      <x:c r="F175" s="69" t="str">
        <x:v>serving</x:v>
      </x:c>
      <x:c r="G175" s="69" t="str">
        <x:v>src/trace_net/serving/</x:v>
      </x:c>
      <x:c r="H175" s="69" t="str">
        <x:v>src/trace_net/serving/trace_net_e2e_live_orchestrator_stage_timing_fastpath_v27.py</x:v>
      </x:c>
      <x:c r="I175" s="69" t="str">
        <x:v>runtime orchestration module</x:v>
      </x:c>
      <x:c r="J175" s="69" t="str">
        <x:v>MOVE_WITH_PROTECTED_COMPATIBILITY_WRAPPER</x:v>
      </x:c>
      <x:c r="K175" s="70" t="b">
        <x:v>1</x:v>
      </x:c>
      <x:c r="L175" s="70" t="b">
        <x:v>1</x:v>
      </x:c>
      <x:c r="M175" s="70" t="b">
        <x:v>1</x:v>
      </x:c>
      <x:c r="N175" s="69" t="n">
        <x:v>4</x:v>
      </x:c>
      <x:c r="O175" s="69" t="n">
        <x:v>1</x:v>
      </x:c>
      <x:c r="P175" s="69" t="str">
        <x:v>scripts/build_trace_net_e2e_live_orchestrator_stage_timing_fastpath_v27.py; scripts/check_trace_net_e2e_live_orchestrator_stage_timing_fastpath_v27_quality.py; scripts/serve_trace_net_e2e_live_orchestrator_stage_timing_fastpath_v27.py; tests/unit/test_trace_net_e2e_live_orchestrator_stage_timing_fastpath_v27.py; tiff/trace_net_canonical_runtime_map_v1.py</x:v>
      </x:c>
      <x:c r="Q175" s="71" t="n">
        <x:v>0.96</x:v>
      </x:c>
      <x:c r="R175" s="69" t="str">
        <x:v>inventory stage: serving</x:v>
      </x:c>
      <x:c r="S175" s="69" t="str">
        <x:v>Runtime/orchestrator implementation is imported or protected.</x:v>
      </x:c>
      <x:c r="T175" s="69" t="str">
        <x:v>Preserve CLI, environment variables, and runtime chain during move.</x:v>
      </x:c>
      <x:c r="U175" s="69" t="str">
        <x:v>8022, 11434</x:v>
      </x:c>
      <x:c r="V175" s="69" t="str"/>
      <x:c r="W175" s="69" t="str"/>
      <x:c r="X175" s="72" t="n">
        <x:v>26659</x:v>
      </x:c>
      <x:c r="Y175" s="70" t="b">
        <x:v>1</x:v>
      </x:c>
      <x:c r="Z175" s="69" t="str">
        <x:v>Protected runtime</x:v>
      </x:c>
      <x:c r="AA175" s="69" t="str">
        <x:v>https://github.com/jwild2027/heico-ai-internship-summer-2026/blob/srv/tiff/trace_net_e2e_live_orchestrator_stage_timing_fastpath_v27.py</x:v>
      </x:c>
      <x:c r="AB175" s="69" t="str">
        <x:v>shared &lt;= string:contract; ingestion &lt;= path:tiff, import:tiff, string:inventory; ocr &lt;= string:ocr; tables &lt;= string:table; graph &lt;= string:community, string:graph, string:leiden, string:relationship; embeddings &lt;= string:qdrant</x:v>
      </x:c>
    </x:row>
    <x:row r="176">
      <x:c r="A176" s="68" t="n">
        <x:v>175</x:v>
      </x:c>
      <x:c r="B176" s="69" t="str">
        <x:v>tiff/trace_net_e2e_live_query_pipeline_v15.py</x:v>
      </x:c>
      <x:c r="C176" s="69" t="str">
        <x:v>trace_net_e2e_live_query_pipeline_v15.py</x:v>
      </x:c>
      <x:c r="D176" s="69" t="str">
        <x:v>serving</x:v>
      </x:c>
      <x:c r="E176" s="69" t="str">
        <x:v>ingestion</x:v>
      </x:c>
      <x:c r="F176" s="69" t="str">
        <x:v>serving</x:v>
      </x:c>
      <x:c r="G176" s="69" t="str">
        <x:v>src/trace_net/serving/</x:v>
      </x:c>
      <x:c r="H176" s="69" t="str">
        <x:v>src/trace_net/serving/trace_net_e2e_live_query_pipeline_v15.py</x:v>
      </x:c>
      <x:c r="I176" s="69" t="str">
        <x:v>active library module</x:v>
      </x:c>
      <x:c r="J176" s="69" t="str">
        <x:v>MOVE_WITH_PROTECTED_COMPATIBILITY_WRAPPER</x:v>
      </x:c>
      <x:c r="K176" s="70" t="b">
        <x:v>1</x:v>
      </x:c>
      <x:c r="L176" s="70" t="b">
        <x:v>1</x:v>
      </x:c>
      <x:c r="M176" s="70" t="b">
        <x:v>1</x:v>
      </x:c>
      <x:c r="N176" s="69" t="n">
        <x:v>4</x:v>
      </x:c>
      <x:c r="O176" s="69" t="n">
        <x:v>0</x:v>
      </x:c>
      <x:c r="P176" s="69" t="str">
        <x:v>scripts/build_trace_net_e2e_live_query_pipeline_v15.py; scripts/serve_trace_net_e2e_live_query_pipeline_v15.py; tests/unit/test_trace_net_e2e_live_query_pipeline_v15.py; tiff/trace_net_e2e_live_dynamic_fallback_v16.py</x:v>
      </x:c>
      <x:c r="Q176" s="71" t="n">
        <x:v>0.95</x:v>
      </x:c>
      <x:c r="R176" s="69" t="str">
        <x:v>inventory stage: serving</x:v>
      </x:c>
      <x:c r="S176" s="69" t="str">
        <x:v>Primary implementation belongs to the serving stage based on filename, imports, and inventory evidence.</x:v>
      </x:c>
      <x:c r="T176" s="69" t="str">
        <x:v>Update imports and retain the old tiff module as a wrapper when callers exist.</x:v>
      </x:c>
      <x:c r="U176" s="69" t="str">
        <x:v>8018</x:v>
      </x:c>
      <x:c r="V176" s="69" t="str"/>
      <x:c r="W176" s="69" t="str"/>
      <x:c r="X176" s="72" t="n">
        <x:v>24834</x:v>
      </x:c>
      <x:c r="Y176" s="70" t="b">
        <x:v>1</x:v>
      </x:c>
      <x:c r="Z176" s="69" t="str">
        <x:v>Protected runtime</x:v>
      </x:c>
      <x:c r="AA176" s="69" t="str">
        <x:v>https://github.com/jwild2027/heico-ai-internship-summer-2026/blob/srv/tiff/trace_net_e2e_live_query_pipeline_v15.py</x:v>
      </x:c>
      <x:c r="AB176" s="69" t="str">
        <x:v>shared &lt;= string:contract, string:schema; ingestion &lt;= path:tiff, import:tiff; ocr &lt;= string:ocr; tables &lt;= string:table; graph &lt;= string:graph; embeddings &lt;= string:embedding, string:qdrant</x:v>
      </x:c>
    </x:row>
    <x:row r="177">
      <x:c r="A177" s="68" t="n">
        <x:v>176</x:v>
      </x:c>
      <x:c r="B177" s="69" t="str">
        <x:v>tiff/trace_net_e2e_live_relationship_final_gated_endpoint_v31.py</x:v>
      </x:c>
      <x:c r="C177" s="69" t="str">
        <x:v>trace_net_e2e_live_relationship_final_gated_endpoint_v31.py</x:v>
      </x:c>
      <x:c r="D177" s="69" t="str">
        <x:v>graph</x:v>
      </x:c>
      <x:c r="E177" s="69" t="str">
        <x:v>serving, ingestion, router, benchmarks</x:v>
      </x:c>
      <x:c r="F177" s="69" t="str">
        <x:v>validation</x:v>
      </x:c>
      <x:c r="G177" s="69" t="str">
        <x:v>src/trace_net/validation/</x:v>
      </x:c>
      <x:c r="H177" s="69" t="str">
        <x:v>src/trace_net/validation/trace_net_e2e_live_relationship_final_gated_endpoint_v31.py</x:v>
      </x:c>
      <x:c r="I177" s="69" t="str">
        <x:v>runtime validation/gating module</x:v>
      </x:c>
      <x:c r="J177" s="69" t="str">
        <x:v>MOVE_WITH_IMPORT_UPDATES_AND_COMPATIBILITY_WRAPPER</x:v>
      </x:c>
      <x:c r="K177" s="70" t="b">
        <x:v>1</x:v>
      </x:c>
      <x:c r="L177" s="70" t="b">
        <x:v>1</x:v>
      </x:c>
      <x:c r="M177" s="70" t="b">
        <x:v>1</x:v>
      </x:c>
      <x:c r="N177" s="69" t="n">
        <x:v>4</x:v>
      </x:c>
      <x:c r="O177" s="69" t="n">
        <x:v>0</x:v>
      </x:c>
      <x:c r="P177" s="69" t="str">
        <x:v>scripts/build_trace_net_e2e_live_relationship_final_gated_endpoint_v31.py; scripts/check_trace_net_e2e_live_relationship_final_gated_endpoint_v31_quality.py; scripts/serve_trace_net_e2e_live_relationship_final_gated_endpoint_v31.py; tests/unit/test_trace_net_e2e_live_relationship_final_gated_endpoint_v31.py</x:v>
      </x:c>
      <x:c r="Q177" s="71" t="n">
        <x:v>0.96</x:v>
      </x:c>
      <x:c r="R177" s="69" t="str">
        <x:v>serving/API naming</x:v>
      </x:c>
      <x:c r="S177" s="69" t="str">
        <x:v>Implements a runtime gate, critic, hardener, or evidence sufficiency check.</x:v>
      </x:c>
      <x:c r="T177" s="69" t="str">
        <x:v>Preserve gating semantics and old import path until focused tests pass.</x:v>
      </x:c>
      <x:c r="U177" s="69" t="str">
        <x:v>8026</x:v>
      </x:c>
      <x:c r="V177" s="69" t="str"/>
      <x:c r="W177" s="69" t="str"/>
      <x:c r="X177" s="72" t="n">
        <x:v>23437</x:v>
      </x:c>
      <x:c r="Y177" s="70" t="b">
        <x:v>1</x:v>
      </x:c>
      <x:c r="Z177" s="69" t="str">
        <x:v>Protected runtime</x:v>
      </x:c>
      <x:c r="AA177" s="69" t="str">
        <x:v>https://github.com/jwild2027/heico-ai-internship-summer-2026/blob/srv/tiff/trace_net_e2e_live_relationship_final_gated_endpoint_v31.py</x:v>
      </x:c>
      <x:c r="AB177" s="69" t="str">
        <x:v>shared &lt;= string:contract; ingestion &lt;= path:tiff, import:tiff; graph &lt;= path:relationship, symbol:relationship, import:relationship, string:community, string:graph, string:has_context, string:has_nomenclature; router &lt;= symbol:router, import:router, string:router; context &lt;= string:page_context, string:v2_summary; llm_writing &lt;= string:final_answer, string:gemma</x:v>
      </x:c>
    </x:row>
    <x:row r="178">
      <x:c r="A178" s="68" t="n">
        <x:v>177</x:v>
      </x:c>
      <x:c r="B178" s="69" t="str">
        <x:v>tiff/trace_net_e2e_live_relationship_synthesis_planner_v29.py</x:v>
      </x:c>
      <x:c r="C178" s="69" t="str">
        <x:v>trace_net_e2e_live_relationship_synthesis_planner_v29.py</x:v>
      </x:c>
      <x:c r="D178" s="69" t="str">
        <x:v>graph</x:v>
      </x:c>
      <x:c r="E178" s="69" t="str">
        <x:v>serving, ingestion, benchmarks</x:v>
      </x:c>
      <x:c r="F178" s="69" t="str">
        <x:v>graph</x:v>
      </x:c>
      <x:c r="G178" s="69" t="str">
        <x:v>src/trace_net/graph/</x:v>
      </x:c>
      <x:c r="H178" s="69" t="str">
        <x:v>src/trace_net/graph/trace_net_e2e_live_relationship_synthesis_planner_v29.py</x:v>
      </x:c>
      <x:c r="I178" s="69" t="str">
        <x:v>active library module</x:v>
      </x:c>
      <x:c r="J178" s="69" t="str">
        <x:v>MOVE_WITH_PROTECTED_COMPATIBILITY_WRAPPER</x:v>
      </x:c>
      <x:c r="K178" s="70" t="b">
        <x:v>1</x:v>
      </x:c>
      <x:c r="L178" s="70" t="b">
        <x:v>1</x:v>
      </x:c>
      <x:c r="M178" s="70" t="b">
        <x:v>1</x:v>
      </x:c>
      <x:c r="N178" s="69" t="n">
        <x:v>4</x:v>
      </x:c>
      <x:c r="O178" s="69" t="n">
        <x:v>0</x:v>
      </x:c>
      <x:c r="P178" s="69" t="str">
        <x:v>scripts/build_trace_net_e2e_live_relationship_synthesis_planner_v29.py; scripts/check_trace_net_e2e_live_relationship_synthesis_planner_v29_quality.py; scripts/serve_trace_net_e2e_live_relationship_synthesis_planner_v29.py; tests/unit/test_trace_net_e2e_live_relationship_synthesis_planner_v29.py</x:v>
      </x:c>
      <x:c r="Q178" s="71" t="n">
        <x:v>0.95</x:v>
      </x:c>
      <x:c r="R178" s="69" t="str">
        <x:v>inventory stage: graph</x:v>
      </x:c>
      <x:c r="S178" s="69" t="str">
        <x:v>Primary implementation belongs to the graph stage based on filename, imports, and inventory evidence.</x:v>
      </x:c>
      <x:c r="T178" s="69" t="str">
        <x:v>Update imports and retain the old tiff module as a wrapper when callers exist.</x:v>
      </x:c>
      <x:c r="U178" s="69" t="str">
        <x:v>8024, 11434</x:v>
      </x:c>
      <x:c r="V178" s="69" t="str"/>
      <x:c r="W178" s="69" t="str"/>
      <x:c r="X178" s="72" t="n">
        <x:v>38304</x:v>
      </x:c>
      <x:c r="Y178" s="70" t="b">
        <x:v>1</x:v>
      </x:c>
      <x:c r="Z178" s="69" t="str">
        <x:v>Protected runtime</x:v>
      </x:c>
      <x:c r="AA178" s="69" t="str">
        <x:v>https://github.com/jwild2027/heico-ai-internship-summer-2026/blob/srv/tiff/trace_net_e2e_live_relationship_synthesis_planner_v29.py</x:v>
      </x:c>
      <x:c r="AB178" s="69" t="str">
        <x:v>shared &lt;= string:contract; ingestion &lt;= path:tiff, import:tiff; ocr &lt;= string:ocr; graph &lt;= path:relationship, symbol:relationship, string:community, string:graph, string:leiden, string:relationship; retrieval &lt;= string:retriev; llm_writing &lt;= string:final_answer, string:gemma, string:writer</x:v>
      </x:c>
    </x:row>
    <x:row r="179">
      <x:c r="A179" s="68" t="n">
        <x:v>178</x:v>
      </x:c>
      <x:c r="B179" s="69" t="str">
        <x:v>tiff/trace_net_e2e_live_self_rag_crag_evaluator_v20.py</x:v>
      </x:c>
      <x:c r="C179" s="69" t="str">
        <x:v>trace_net_e2e_live_self_rag_crag_evaluator_v20.py</x:v>
      </x:c>
      <x:c r="D179" s="69" t="str">
        <x:v>validation</x:v>
      </x:c>
      <x:c r="E179" s="69" t="str">
        <x:v>benchmarks</x:v>
      </x:c>
      <x:c r="F179" s="69" t="str">
        <x:v>validation</x:v>
      </x:c>
      <x:c r="G179" s="69" t="str">
        <x:v>src/trace_net/validation/</x:v>
      </x:c>
      <x:c r="H179" s="69" t="str">
        <x:v>src/trace_net/validation/trace_net_e2e_live_self_rag_crag_evaluator_v20.py</x:v>
      </x:c>
      <x:c r="I179" s="69" t="str">
        <x:v>active library module</x:v>
      </x:c>
      <x:c r="J179" s="69" t="str">
        <x:v>MOVE_WITH_IMPORT_UPDATES_AND_COMPATIBILITY_WRAPPER</x:v>
      </x:c>
      <x:c r="K179" s="70" t="b">
        <x:v>1</x:v>
      </x:c>
      <x:c r="L179" s="70" t="b">
        <x:v>0</x:v>
      </x:c>
      <x:c r="M179" s="70" t="b">
        <x:v>1</x:v>
      </x:c>
      <x:c r="N179" s="69" t="n">
        <x:v>6</x:v>
      </x:c>
      <x:c r="O179" s="69" t="n">
        <x:v>3</x:v>
      </x:c>
      <x:c r="P179" s="69" t="str">
        <x:v>scripts/build_trace_net_e2e_live_self_rag_crag_evaluator_v20.py; scripts/check_trace_net_e2e_live_self_rag_crag_evaluator_v20_quality.py; tests/unit/test_trace_net_e2e_live_self_rag_crag_evaluator_v20.py; docs/trace_net_canonical_runtime_map_v1_README.md; tests/unit/test_trace_net_canonical_runtime_map_v1.py; tiff/trace_net_canonical_runtime_map_v1.py</x:v>
      </x:c>
      <x:c r="Q179" s="71" t="n">
        <x:v>0.95</x:v>
      </x:c>
      <x:c r="R179" s="69" t="str">
        <x:v>cross-cutting validation/reliability</x:v>
      </x:c>
      <x:c r="S179" s="69" t="str">
        <x:v>Primary implementation belongs to the validation stage based on filename, imports, and inventory evidence.</x:v>
      </x:c>
      <x:c r="T179" s="69" t="str">
        <x:v>Update imports and retain the old tiff module as a wrapper when callers exist.</x:v>
      </x:c>
      <x:c r="U179" s="69" t="str"/>
      <x:c r="V179" s="69" t="str"/>
      <x:c r="W179" s="69" t="str"/>
      <x:c r="X179" s="72" t="n">
        <x:v>29992</x:v>
      </x:c>
      <x:c r="Y179" s="70" t="b">
        <x:v>1</x:v>
      </x:c>
      <x:c r="Z179" s="69" t="str">
        <x:v>Compatibility required</x:v>
      </x:c>
      <x:c r="AA179" s="69" t="str">
        <x:v>https://github.com/jwild2027/heico-ai-internship-summer-2026/blob/srv/tiff/trace_net_e2e_live_self_rag_crag_evaluator_v20.py</x:v>
      </x:c>
      <x:c r="AB179" s="69" t="str">
        <x:v>shared &lt;= symbol:common, string:contract; ingestion &lt;= path:tiff; graph &lt;= symbol:graph, string:graph, string:leiden; embeddings &lt;= string:qdrant; retrieval &lt;= string:high_degree, string:opensearch; context &lt;= symbol:context_pack, string:context_pack, string:v2_summary</x:v>
      </x:c>
    </x:row>
    <x:row r="180">
      <x:c r="A180" s="68" t="n">
        <x:v>179</x:v>
      </x:c>
      <x:c r="B180" s="69" t="str">
        <x:v>tiff/trace_net_e2e_live_webui_final_gated_gemma_endpoint_v24.py</x:v>
      </x:c>
      <x:c r="C180" s="69" t="str">
        <x:v>trace_net_e2e_live_webui_final_gated_gemma_endpoint_v24.py</x:v>
      </x:c>
      <x:c r="D180" s="69" t="str">
        <x:v>serving</x:v>
      </x:c>
      <x:c r="E180" s="69" t="str">
        <x:v>llm_writing</x:v>
      </x:c>
      <x:c r="F180" s="69" t="str">
        <x:v>validation</x:v>
      </x:c>
      <x:c r="G180" s="69" t="str">
        <x:v>src/trace_net/validation/</x:v>
      </x:c>
      <x:c r="H180" s="69" t="str">
        <x:v>src/trace_net/validation/trace_net_e2e_live_webui_final_gated_gemma_endpoint_v24.py</x:v>
      </x:c>
      <x:c r="I180" s="69" t="str">
        <x:v>runtime validation/gating module</x:v>
      </x:c>
      <x:c r="J180" s="69" t="str">
        <x:v>MOVE_WITH_IMPORT_UPDATES_AND_COMPATIBILITY_WRAPPER</x:v>
      </x:c>
      <x:c r="K180" s="70" t="b">
        <x:v>1</x:v>
      </x:c>
      <x:c r="L180" s="70" t="b">
        <x:v>1</x:v>
      </x:c>
      <x:c r="M180" s="70" t="b">
        <x:v>1</x:v>
      </x:c>
      <x:c r="N180" s="69" t="n">
        <x:v>4</x:v>
      </x:c>
      <x:c r="O180" s="69" t="n">
        <x:v>0</x:v>
      </x:c>
      <x:c r="P180" s="69" t="str">
        <x:v>scripts/build_trace_net_e2e_live_webui_final_gated_gemma_endpoint_v24.py; scripts/check_trace_net_e2e_live_webui_final_gated_gemma_endpoint_v24_quality.py; scripts/serve_trace_net_e2e_live_webui_final_gated_gemma_endpoint_v24.py; tests/unit/test_trace_net_e2e_live_webui_final_gated_gemma_endpoint_v24.py</x:v>
      </x:c>
      <x:c r="Q180" s="71" t="n">
        <x:v>0.96</x:v>
      </x:c>
      <x:c r="R180" s="69" t="str">
        <x:v>serving/API naming</x:v>
      </x:c>
      <x:c r="S180" s="69" t="str">
        <x:v>Implements a runtime gate, critic, hardener, or evidence sufficiency check.</x:v>
      </x:c>
      <x:c r="T180" s="69" t="str">
        <x:v>Preserve gating semantics and old import path until focused tests pass.</x:v>
      </x:c>
      <x:c r="U180" s="69" t="str">
        <x:v>8020</x:v>
      </x:c>
      <x:c r="V180" s="69" t="str"/>
      <x:c r="W180" s="69" t="str"/>
      <x:c r="X180" s="72" t="n">
        <x:v>21888</x:v>
      </x:c>
      <x:c r="Y180" s="70" t="b">
        <x:v>1</x:v>
      </x:c>
      <x:c r="Z180" s="69" t="str">
        <x:v>Protected runtime</x:v>
      </x:c>
      <x:c r="AA180" s="69" t="str">
        <x:v>https://github.com/jwild2027/heico-ai-internship-summer-2026/blob/srv/tiff/trace_net_e2e_live_webui_final_gated_gemma_endpoint_v24.py</x:v>
      </x:c>
      <x:c r="AB180" s="69" t="str">
        <x:v>shared &lt;= string:contract; ingestion &lt;= path:tiff; ocr &lt;= string:ocr; tables &lt;= string:table; graph &lt;= string:graph, string:leiden; embeddings &lt;= string:qdrant</x:v>
      </x:c>
    </x:row>
    <x:row r="181">
      <x:c r="A181" s="68" t="n">
        <x:v>180</x:v>
      </x:c>
      <x:c r="B181" s="69" t="str">
        <x:v>tiff/trace_net_e2e_llm_assisted_query_planner_v17.py</x:v>
      </x:c>
      <x:c r="C181" s="69" t="str">
        <x:v>trace_net_e2e_llm_assisted_query_planner_v17.py</x:v>
      </x:c>
      <x:c r="D181" s="69" t="str">
        <x:v>benchmarks</x:v>
      </x:c>
      <x:c r="E181" s="69" t="str">
        <x:v>graph, ingestion, retrieval, serving</x:v>
      </x:c>
      <x:c r="F181" s="69" t="str">
        <x:v>validation</x:v>
      </x:c>
      <x:c r="G181" s="69" t="str">
        <x:v>src/trace_net/validation/</x:v>
      </x:c>
      <x:c r="H181" s="69" t="str">
        <x:v>src/trace_net/validation/trace_net_e2e_llm_assisted_query_planner_v17.py</x:v>
      </x:c>
      <x:c r="I181" s="69" t="str">
        <x:v>active library module</x:v>
      </x:c>
      <x:c r="J181" s="69" t="str">
        <x:v>MOVE_WITH_IMPORT_UPDATES_AND_COMPATIBILITY_WRAPPER</x:v>
      </x:c>
      <x:c r="K181" s="70" t="b">
        <x:v>1</x:v>
      </x:c>
      <x:c r="L181" s="70" t="b">
        <x:v>0</x:v>
      </x:c>
      <x:c r="M181" s="70" t="b">
        <x:v>1</x:v>
      </x:c>
      <x:c r="N181" s="69" t="n">
        <x:v>3</x:v>
      </x:c>
      <x:c r="O181" s="69" t="n">
        <x:v>0</x:v>
      </x:c>
      <x:c r="P181" s="69" t="str">
        <x:v>scripts/build_trace_net_e2e_llm_assisted_query_planner_v17.py; scripts/check_trace_net_e2e_llm_assisted_query_planner_v17_quality.py; tests/unit/test_trace_net_e2e_llm_assisted_query_planner_v17.py</x:v>
      </x:c>
      <x:c r="Q181" s="71" t="n">
        <x:v>0.95</x:v>
      </x:c>
      <x:c r="R181" s="69" t="str">
        <x:v>inventory stage: benchmarks</x:v>
      </x:c>
      <x:c r="S181" s="69" t="str">
        <x:v>Primary implementation belongs to the validation stage based on filename, imports, and inventory evidence.</x:v>
      </x:c>
      <x:c r="T181" s="69" t="str">
        <x:v>Update imports and retain the old tiff module as a wrapper when callers exist.</x:v>
      </x:c>
      <x:c r="U181" s="69" t="str"/>
      <x:c r="V181" s="69" t="str"/>
      <x:c r="W181" s="69" t="str"/>
      <x:c r="X181" s="72" t="n">
        <x:v>29521</x:v>
      </x:c>
      <x:c r="Y181" s="70" t="b">
        <x:v>1</x:v>
      </x:c>
      <x:c r="Z181" s="69" t="str">
        <x:v>Compatibility required</x:v>
      </x:c>
      <x:c r="AA181" s="69" t="str">
        <x:v>https://github.com/jwild2027/heico-ai-internship-summer-2026/blob/srv/tiff/trace_net_e2e_llm_assisted_query_planner_v17.py</x:v>
      </x:c>
      <x:c r="AB181" s="69" t="str">
        <x:v>shared &lt;= string:common, string:contract, string:schema; ingestion &lt;= path:tiff; tables &lt;= string:ipl, string:table; graph &lt;= string:community, string:graph, string:leiden, string:relationship; embeddings &lt;= string:qdrant; retrieval &lt;= symbol:tunnel, string:retriev, string:tunnel</x:v>
      </x:c>
    </x:row>
    <x:row r="182">
      <x:c r="A182" s="68" t="n">
        <x:v>181</x:v>
      </x:c>
      <x:c r="B182" s="69" t="str">
        <x:v>tiff/trace_net_e2e_llm_prompt_contract_v11.py</x:v>
      </x:c>
      <x:c r="C182" s="69" t="str">
        <x:v>trace_net_e2e_llm_prompt_contract_v11.py</x:v>
      </x:c>
      <x:c r="D182" s="69" t="str">
        <x:v>shared</x:v>
      </x:c>
      <x:c r="E182" s="69" t="str">
        <x:v>validation, benchmarks, ingestion, context</x:v>
      </x:c>
      <x:c r="F182" s="69" t="str">
        <x:v>core</x:v>
      </x:c>
      <x:c r="G182" s="69" t="str">
        <x:v>src/trace_net/core/</x:v>
      </x:c>
      <x:c r="H182" s="69" t="str">
        <x:v>src/trace_net/core/trace_net_e2e_llm_prompt_contract_v11.py</x:v>
      </x:c>
      <x:c r="I182" s="69" t="str">
        <x:v>active library module</x:v>
      </x:c>
      <x:c r="J182" s="69" t="str">
        <x:v>MOVE_WITH_IMPORT_UPDATES_AND_COMPATIBILITY_WRAPPER</x:v>
      </x:c>
      <x:c r="K182" s="70" t="b">
        <x:v>1</x:v>
      </x:c>
      <x:c r="L182" s="70" t="b">
        <x:v>0</x:v>
      </x:c>
      <x:c r="M182" s="70" t="b">
        <x:v>1</x:v>
      </x:c>
      <x:c r="N182" s="69" t="n">
        <x:v>3</x:v>
      </x:c>
      <x:c r="O182" s="69" t="n">
        <x:v>0</x:v>
      </x:c>
      <x:c r="P182" s="69" t="str">
        <x:v>scripts/build_trace_net_e2e_llm_prompt_contract_v11.py; scripts/check_trace_net_e2e_llm_prompt_contract_v11_quality.py; tests/unit/test_trace_net_e2e_llm_prompt_contract_v11.py</x:v>
      </x:c>
      <x:c r="Q182" s="71" t="n">
        <x:v>0.9</x:v>
      </x:c>
      <x:c r="R182" s="69" t="str">
        <x:v>shared contract/schema/adapter</x:v>
      </x:c>
      <x:c r="S182" s="69" t="str">
        <x:v>Primary implementation belongs to the core stage based on filename, imports, and inventory evidence.</x:v>
      </x:c>
      <x:c r="T182" s="69" t="str">
        <x:v>Update imports and retain the old tiff module as a wrapper when callers exist.</x:v>
      </x:c>
      <x:c r="U182" s="69" t="str"/>
      <x:c r="V182" s="69" t="str"/>
      <x:c r="W182" s="69" t="str"/>
      <x:c r="X182" s="72" t="n">
        <x:v>27829</x:v>
      </x:c>
      <x:c r="Y182" s="70" t="b">
        <x:v>1</x:v>
      </x:c>
      <x:c r="Z182" s="69" t="str">
        <x:v>Compatibility required</x:v>
      </x:c>
      <x:c r="AA182" s="69" t="str">
        <x:v>https://github.com/jwild2027/heico-ai-internship-summer-2026/blob/srv/tiff/trace_net_e2e_llm_prompt_contract_v11.py</x:v>
      </x:c>
      <x:c r="AB182" s="69" t="str">
        <x:v>shared &lt;= path:contract, symbol:contract, string:contract, string:schema; ingestion &lt;= path:tiff; ocr &lt;= string:ocr; tables &lt;= string:table; graph &lt;= string:community, string:graph; embeddings &lt;= string:embedding, string:qdrant</x:v>
      </x:c>
    </x:row>
    <x:row r="183">
      <x:c r="A183" s="68" t="n">
        <x:v>182</x:v>
      </x:c>
      <x:c r="B183" s="69" t="str">
        <x:v>tiff/trace_net_e2e_local_endpoint_v1.py</x:v>
      </x:c>
      <x:c r="C183" s="69" t="str">
        <x:v>trace_net_e2e_local_endpoint_v1.py</x:v>
      </x:c>
      <x:c r="D183" s="69" t="str">
        <x:v>serving</x:v>
      </x:c>
      <x:c r="E183" s="69" t="str"/>
      <x:c r="F183" s="69" t="str">
        <x:v>serving</x:v>
      </x:c>
      <x:c r="G183" s="69" t="str">
        <x:v>src/trace_net/serving/</x:v>
      </x:c>
      <x:c r="H183" s="69" t="str">
        <x:v>src/trace_net/serving/trace_net_e2e_local_endpoint_v1.py</x:v>
      </x:c>
      <x:c r="I183" s="69" t="str">
        <x:v>serving/runtime module</x:v>
      </x:c>
      <x:c r="J183" s="69" t="str">
        <x:v>MOVE_WITH_PROTECTED_COMPATIBILITY_WRAPPER</x:v>
      </x:c>
      <x:c r="K183" s="70" t="b">
        <x:v>1</x:v>
      </x:c>
      <x:c r="L183" s="70" t="b">
        <x:v>1</x:v>
      </x:c>
      <x:c r="M183" s="70" t="b">
        <x:v>1</x:v>
      </x:c>
      <x:c r="N183" s="69" t="n">
        <x:v>4</x:v>
      </x:c>
      <x:c r="O183" s="69" t="n">
        <x:v>2</x:v>
      </x:c>
      <x:c r="P183" s="69" t="str">
        <x:v>scripts/build_trace_net_e2e_local_endpoint_v1.py; scripts/serve_trace_net_e2e_local_endpoint_v1.py; tests/unit/test_trace_net_e2e_local_endpoint_v1.py; tests/unit/test_trace_net_e2e_local_endpoint_v1_script_imports.py; tiff/trace_net_canonical_runtime_map_v1.py; tiff/trace_net_e2e_codebase_checklist_v1.py</x:v>
      </x:c>
      <x:c r="Q183" s="71" t="n">
        <x:v>0.98</x:v>
      </x:c>
      <x:c r="R183" s="69" t="str">
        <x:v>serving/API naming</x:v>
      </x:c>
      <x:c r="S183" s="69" t="str">
        <x:v>API, endpoint, server, bridge, or console implementation used by runtime callers.</x:v>
      </x:c>
      <x:c r="T183" s="69" t="str">
        <x:v>Old entrypoint must remain callable; verify relevant ports and OpenWebUI behavior.</x:v>
      </x:c>
      <x:c r="U183" s="69" t="str">
        <x:v>8014</x:v>
      </x:c>
      <x:c r="V183" s="69" t="str"/>
      <x:c r="W183" s="69" t="str"/>
      <x:c r="X183" s="72" t="n">
        <x:v>29064</x:v>
      </x:c>
      <x:c r="Y183" s="70" t="b">
        <x:v>1</x:v>
      </x:c>
      <x:c r="Z183" s="69" t="str">
        <x:v>Protected runtime</x:v>
      </x:c>
      <x:c r="AA183" s="69" t="str">
        <x:v>https://github.com/jwild2027/heico-ai-internship-summer-2026/blob/srv/tiff/trace_net_e2e_local_endpoint_v1.py</x:v>
      </x:c>
      <x:c r="AB183" s="69" t="str">
        <x:v>shared &lt;= string:contract, string:helper; ingestion &lt;= path:tiff; embeddings &lt;= string:qdrant; retrieval &lt;= string:opensearch, string:retriev; validation &lt;= string:validation; serving &lt;= path:endpoint, symbol:api, symbol:endpoint, symbol:serve, import:http, import:serve, import:server, import:sse</x:v>
      </x:c>
    </x:row>
    <x:row r="184">
      <x:c r="A184" s="68" t="n">
        <x:v>183</x:v>
      </x:c>
      <x:c r="B184" s="69" t="str">
        <x:v>tiff/trace_net_e2e_optional_tunnel_activator_v5.py</x:v>
      </x:c>
      <x:c r="C184" s="69" t="str">
        <x:v>trace_net_e2e_optional_tunnel_activator_v5.py</x:v>
      </x:c>
      <x:c r="D184" s="69" t="str">
        <x:v>retrieval</x:v>
      </x:c>
      <x:c r="E184" s="69" t="str">
        <x:v>ingestion, serving, graph</x:v>
      </x:c>
      <x:c r="F184" s="69" t="str">
        <x:v>retrieval</x:v>
      </x:c>
      <x:c r="G184" s="69" t="str">
        <x:v>src/trace_net/retrieval/</x:v>
      </x:c>
      <x:c r="H184" s="69" t="str">
        <x:v>src/trace_net/retrieval/trace_net_e2e_optional_tunnel_activator_v5.py</x:v>
      </x:c>
      <x:c r="I184" s="69" t="str">
        <x:v>active library module</x:v>
      </x:c>
      <x:c r="J184" s="69" t="str">
        <x:v>MOVE_WITH_IMPORT_UPDATES_AND_COMPATIBILITY_WRAPPER</x:v>
      </x:c>
      <x:c r="K184" s="70" t="b">
        <x:v>1</x:v>
      </x:c>
      <x:c r="L184" s="70" t="b">
        <x:v>0</x:v>
      </x:c>
      <x:c r="M184" s="70" t="b">
        <x:v>1</x:v>
      </x:c>
      <x:c r="N184" s="69" t="n">
        <x:v>3</x:v>
      </x:c>
      <x:c r="O184" s="69" t="n">
        <x:v>0</x:v>
      </x:c>
      <x:c r="P184" s="69" t="str">
        <x:v>scripts/build_trace_net_e2e_optional_tunnel_activator_v5.py; tests/unit/test_trace_net_e2e_optional_tunnel_activator_v5.py; tests/unit/test_trace_net_e2e_optional_tunnel_activator_v5_script_imports.py</x:v>
      </x:c>
      <x:c r="Q184" s="71" t="n">
        <x:v>0.95</x:v>
      </x:c>
      <x:c r="R184" s="69" t="str">
        <x:v>inventory stage: retrieval</x:v>
      </x:c>
      <x:c r="S184" s="69" t="str">
        <x:v>Primary implementation belongs to the retrieval stage based on filename, imports, and inventory evidence.</x:v>
      </x:c>
      <x:c r="T184" s="69" t="str">
        <x:v>Update imports and retain the old tiff module as a wrapper when callers exist.</x:v>
      </x:c>
      <x:c r="U184" s="69" t="str"/>
      <x:c r="V184" s="69" t="str"/>
      <x:c r="W184" s="69" t="str"/>
      <x:c r="X184" s="72" t="n">
        <x:v>22842</x:v>
      </x:c>
      <x:c r="Y184" s="70" t="b">
        <x:v>1</x:v>
      </x:c>
      <x:c r="Z184" s="69" t="str">
        <x:v>Compatibility required</x:v>
      </x:c>
      <x:c r="AA184" s="69" t="str">
        <x:v>https://github.com/jwild2027/heico-ai-internship-summer-2026/blob/srv/tiff/trace_net_e2e_optional_tunnel_activator_v5.py</x:v>
      </x:c>
      <x:c r="AB184" s="69" t="str">
        <x:v>shared &lt;= string:contract, string:schema; ingestion &lt;= path:tiff, symbol:extract_page, string:ingest; ocr &lt;= string:ocr; tables &lt;= symbol:table, string:table; graph &lt;= symbol:leiden, string:community, string:graph, string:leiden; embeddings &lt;= string:embedding, string:qdrant</x:v>
      </x:c>
    </x:row>
    <x:row r="185">
      <x:c r="A185" s="68" t="n">
        <x:v>184</x:v>
      </x:c>
      <x:c r="B185" s="69" t="str">
        <x:v>tiff/trace_net_e2e_query_input_v1.py</x:v>
      </x:c>
      <x:c r="C185" s="69" t="str">
        <x:v>trace_net_e2e_query_input_v1.py</x:v>
      </x:c>
      <x:c r="D185" s="69" t="str">
        <x:v>benchmarks</x:v>
      </x:c>
      <x:c r="E185" s="69" t="str">
        <x:v>ingestion, serving</x:v>
      </x:c>
      <x:c r="F185" s="69" t="str">
        <x:v>validation</x:v>
      </x:c>
      <x:c r="G185" s="69" t="str">
        <x:v>src/trace_net/validation/</x:v>
      </x:c>
      <x:c r="H185" s="69" t="str">
        <x:v>src/trace_net/validation/trace_net_e2e_query_input_v1.py</x:v>
      </x:c>
      <x:c r="I185" s="69" t="str">
        <x:v>active library module</x:v>
      </x:c>
      <x:c r="J185" s="69" t="str">
        <x:v>MOVE_WITH_IMPORT_UPDATES_AND_COMPATIBILITY_WRAPPER</x:v>
      </x:c>
      <x:c r="K185" s="70" t="b">
        <x:v>1</x:v>
      </x:c>
      <x:c r="L185" s="70" t="b">
        <x:v>0</x:v>
      </x:c>
      <x:c r="M185" s="70" t="b">
        <x:v>1</x:v>
      </x:c>
      <x:c r="N185" s="69" t="n">
        <x:v>3</x:v>
      </x:c>
      <x:c r="O185" s="69" t="n">
        <x:v>1</x:v>
      </x:c>
      <x:c r="P185" s="69" t="str">
        <x:v>scripts/build_trace_net_e2e_query_input_v1.py; scripts/check_trace_net_e2e_query_input_v1_quality.py; tests/unit/test_trace_net_e2e_query_input_v1.py; tiff/trace_net_e2e_codebase_checklist_v1.py</x:v>
      </x:c>
      <x:c r="Q185" s="71" t="n">
        <x:v>0.95</x:v>
      </x:c>
      <x:c r="R185" s="69" t="str">
        <x:v>inventory stage: benchmarks</x:v>
      </x:c>
      <x:c r="S185" s="69" t="str">
        <x:v>Primary implementation belongs to the validation stage based on filename, imports, and inventory evidence.</x:v>
      </x:c>
      <x:c r="T185" s="69" t="str">
        <x:v>Update imports and retain the old tiff module as a wrapper when callers exist.</x:v>
      </x:c>
      <x:c r="U185" s="69" t="str"/>
      <x:c r="V185" s="69" t="str"/>
      <x:c r="W185" s="69" t="str"/>
      <x:c r="X185" s="72" t="n">
        <x:v>21409</x:v>
      </x:c>
      <x:c r="Y185" s="70" t="b">
        <x:v>1</x:v>
      </x:c>
      <x:c r="Z185" s="69" t="str">
        <x:v>Compatibility required</x:v>
      </x:c>
      <x:c r="AA185" s="69" t="str">
        <x:v>https://github.com/jwild2027/heico-ai-internship-summer-2026/blob/srv/tiff/trace_net_e2e_query_input_v1.py</x:v>
      </x:c>
      <x:c r="AB185" s="69" t="str">
        <x:v>shared &lt;= string:contract, string:schema; ingestion &lt;= path:tiff, string:convert; tables &lt;= string:ipl, string:table; graph &lt;= string:graph; embeddings &lt;= string:qdrant; retrieval &lt;= string:opensearch, string:retriev</x:v>
      </x:c>
    </x:row>
    <x:row r="186">
      <x:c r="A186" s="68" t="n">
        <x:v>185</x:v>
      </x:c>
      <x:c r="B186" s="69" t="str">
        <x:v>tiff/trace_net_e2e_query_planning_routing_v1.py</x:v>
      </x:c>
      <x:c r="C186" s="69" t="str">
        <x:v>trace_net_e2e_query_planning_routing_v1.py</x:v>
      </x:c>
      <x:c r="D186" s="69" t="str">
        <x:v>router</x:v>
      </x:c>
      <x:c r="E186" s="69" t="str">
        <x:v>retrieval, benchmarks</x:v>
      </x:c>
      <x:c r="F186" s="69" t="str">
        <x:v>router</x:v>
      </x:c>
      <x:c r="G186" s="69" t="str">
        <x:v>src/trace_net/router/</x:v>
      </x:c>
      <x:c r="H186" s="69" t="str">
        <x:v>src/trace_net/router/trace_net_e2e_query_planning_routing_v1.py</x:v>
      </x:c>
      <x:c r="I186" s="69" t="str">
        <x:v>active library module</x:v>
      </x:c>
      <x:c r="J186" s="69" t="str">
        <x:v>MOVE_WITH_IMPORT_UPDATES_AND_COMPATIBILITY_WRAPPER</x:v>
      </x:c>
      <x:c r="K186" s="70" t="b">
        <x:v>1</x:v>
      </x:c>
      <x:c r="L186" s="70" t="b">
        <x:v>0</x:v>
      </x:c>
      <x:c r="M186" s="70" t="b">
        <x:v>1</x:v>
      </x:c>
      <x:c r="N186" s="69" t="n">
        <x:v>4</x:v>
      </x:c>
      <x:c r="O186" s="69" t="n">
        <x:v>1</x:v>
      </x:c>
      <x:c r="P186" s="69" t="str">
        <x:v>scripts/build_trace_net_e2e_query_planning_routing_v1.py; scripts/check_trace_net_e2e_query_planning_routing_v1_quality.py; tests/unit/test_trace_net_e2e_query_planning_routing_v1.py; tests/unit/test_trace_net_e2e_query_planning_routing_v1_script_imports.py; tiff/trace_net_e2e_codebase_checklist_v1.py</x:v>
      </x:c>
      <x:c r="Q186" s="71" t="n">
        <x:v>0.95</x:v>
      </x:c>
      <x:c r="R186" s="69" t="str">
        <x:v>inventory stage: router</x:v>
      </x:c>
      <x:c r="S186" s="69" t="str">
        <x:v>Primary implementation belongs to the router stage based on filename, imports, and inventory evidence.</x:v>
      </x:c>
      <x:c r="T186" s="69" t="str">
        <x:v>Update imports and retain the old tiff module as a wrapper when callers exist.</x:v>
      </x:c>
      <x:c r="U186" s="69" t="str"/>
      <x:c r="V186" s="69" t="str"/>
      <x:c r="W186" s="69" t="str"/>
      <x:c r="X186" s="72" t="n">
        <x:v>34141</x:v>
      </x:c>
      <x:c r="Y186" s="70" t="b">
        <x:v>1</x:v>
      </x:c>
      <x:c r="Z186" s="69" t="str">
        <x:v>Compatibility required</x:v>
      </x:c>
      <x:c r="AA186" s="69" t="str">
        <x:v>https://github.com/jwild2027/heico-ai-internship-summer-2026/blob/srv/tiff/trace_net_e2e_query_planning_routing_v1.py</x:v>
      </x:c>
      <x:c r="AB186" s="69" t="str">
        <x:v>shared &lt;= symbol:schema, string:contract, string:schema; ingestion &lt;= path:tiff; visual &lt;= string:visual; tables &lt;= string:table; graph &lt;= string:community, string:graph; embeddings &lt;= string:qdrant</x:v>
      </x:c>
    </x:row>
    <x:row r="187">
      <x:c r="A187" s="68" t="n">
        <x:v>186</x:v>
      </x:c>
      <x:c r="B187" s="69" t="str">
        <x:v>tiff/trace_net_e2e_rag_demo_report_v1.py</x:v>
      </x:c>
      <x:c r="C187" s="69" t="str">
        <x:v>trace_net_e2e_rag_demo_report_v1.py</x:v>
      </x:c>
      <x:c r="D187" s="69" t="str">
        <x:v>benchmarks</x:v>
      </x:c>
      <x:c r="E187" s="69" t="str">
        <x:v>ingestion, serving</x:v>
      </x:c>
      <x:c r="F187" s="69" t="str">
        <x:v>validation</x:v>
      </x:c>
      <x:c r="G187" s="69" t="str">
        <x:v>src/trace_net/validation/</x:v>
      </x:c>
      <x:c r="H187" s="69" t="str">
        <x:v>src/trace_net/validation/trace_net_e2e_rag_demo_report_v1.py</x:v>
      </x:c>
      <x:c r="I187" s="69" t="str">
        <x:v>active library module</x:v>
      </x:c>
      <x:c r="J187" s="69" t="str">
        <x:v>MOVE_WITH_IMPORT_UPDATES_AND_COMPATIBILITY_WRAPPER</x:v>
      </x:c>
      <x:c r="K187" s="70" t="b">
        <x:v>1</x:v>
      </x:c>
      <x:c r="L187" s="70" t="b">
        <x:v>0</x:v>
      </x:c>
      <x:c r="M187" s="70" t="b">
        <x:v>1</x:v>
      </x:c>
      <x:c r="N187" s="69" t="n">
        <x:v>2</x:v>
      </x:c>
      <x:c r="O187" s="69" t="n">
        <x:v>1</x:v>
      </x:c>
      <x:c r="P187" s="69" t="str">
        <x:v>scripts/build_trace_net_e2e_rag_demo_report_v1.py; tests/unit/test_trace_net_e2e_rag_demo_report_v1.py; tiff/trace_net_e2e_codebase_checklist_v1.py</x:v>
      </x:c>
      <x:c r="Q187" s="71" t="n">
        <x:v>0.95</x:v>
      </x:c>
      <x:c r="R187" s="69" t="str">
        <x:v>inventory stage: benchmarks</x:v>
      </x:c>
      <x:c r="S187" s="69" t="str">
        <x:v>Primary implementation belongs to the validation stage based on filename, imports, and inventory evidence.</x:v>
      </x:c>
      <x:c r="T187" s="69" t="str">
        <x:v>Update imports and retain the old tiff module as a wrapper when callers exist.</x:v>
      </x:c>
      <x:c r="U187" s="69" t="str"/>
      <x:c r="V187" s="69" t="str"/>
      <x:c r="W187" s="69" t="str"/>
      <x:c r="X187" s="72" t="n">
        <x:v>23734</x:v>
      </x:c>
      <x:c r="Y187" s="70" t="b">
        <x:v>1</x:v>
      </x:c>
      <x:c r="Z187" s="69" t="str">
        <x:v>Compatibility required</x:v>
      </x:c>
      <x:c r="AA187" s="69" t="str">
        <x:v>https://github.com/jwild2027/heico-ai-internship-summer-2026/blob/srv/tiff/trace_net_e2e_rag_demo_report_v1.py</x:v>
      </x:c>
      <x:c r="AB187" s="69" t="str">
        <x:v>shared &lt;= string:contract, string:schema; ingestion &lt;= path:tiff; graph &lt;= string:graph; embeddings &lt;= string:qdrant; retrieval &lt;= string:opensearch, string:retriev, string:tunnel; router &lt;= string:routing</x:v>
      </x:c>
    </x:row>
    <x:row r="188">
      <x:c r="A188" s="68" t="n">
        <x:v>187</x:v>
      </x:c>
      <x:c r="B188" s="69" t="str">
        <x:v>tiff/trace_net_e2e_reasoned_response_draft_v12.py</x:v>
      </x:c>
      <x:c r="C188" s="69" t="str">
        <x:v>trace_net_e2e_reasoned_response_draft_v12.py</x:v>
      </x:c>
      <x:c r="D188" s="69" t="str">
        <x:v>benchmarks</x:v>
      </x:c>
      <x:c r="E188" s="69" t="str">
        <x:v>shared, ingestion</x:v>
      </x:c>
      <x:c r="F188" s="69" t="str">
        <x:v>validation</x:v>
      </x:c>
      <x:c r="G188" s="69" t="str">
        <x:v>src/trace_net/validation/</x:v>
      </x:c>
      <x:c r="H188" s="69" t="str">
        <x:v>src/trace_net/validation/trace_net_e2e_reasoned_response_draft_v12.py</x:v>
      </x:c>
      <x:c r="I188" s="69" t="str">
        <x:v>active library module</x:v>
      </x:c>
      <x:c r="J188" s="69" t="str">
        <x:v>MOVE_WITH_IMPORT_UPDATES_AND_COMPATIBILITY_WRAPPER</x:v>
      </x:c>
      <x:c r="K188" s="70" t="b">
        <x:v>1</x:v>
      </x:c>
      <x:c r="L188" s="70" t="b">
        <x:v>0</x:v>
      </x:c>
      <x:c r="M188" s="70" t="b">
        <x:v>1</x:v>
      </x:c>
      <x:c r="N188" s="69" t="n">
        <x:v>3</x:v>
      </x:c>
      <x:c r="O188" s="69" t="n">
        <x:v>0</x:v>
      </x:c>
      <x:c r="P188" s="69" t="str">
        <x:v>scripts/build_trace_net_e2e_reasoned_response_draft_v12.py; scripts/check_trace_net_e2e_reasoned_response_draft_v12_quality.py; tests/unit/test_trace_net_e2e_reasoned_response_draft_v12.py</x:v>
      </x:c>
      <x:c r="Q188" s="71" t="n">
        <x:v>0.95</x:v>
      </x:c>
      <x:c r="R188" s="69" t="str">
        <x:v>inventory stage: benchmarks</x:v>
      </x:c>
      <x:c r="S188" s="69" t="str">
        <x:v>Primary implementation belongs to the validation stage based on filename, imports, and inventory evidence.</x:v>
      </x:c>
      <x:c r="T188" s="69" t="str">
        <x:v>Update imports and retain the old tiff module as a wrapper when callers exist.</x:v>
      </x:c>
      <x:c r="U188" s="69" t="str"/>
      <x:c r="V188" s="69" t="str"/>
      <x:c r="W188" s="69" t="str"/>
      <x:c r="X188" s="72" t="n">
        <x:v>29114</x:v>
      </x:c>
      <x:c r="Y188" s="70" t="b">
        <x:v>1</x:v>
      </x:c>
      <x:c r="Z188" s="69" t="str">
        <x:v>Compatibility required</x:v>
      </x:c>
      <x:c r="AA188" s="69" t="str">
        <x:v>https://github.com/jwild2027/heico-ai-internship-summer-2026/blob/srv/tiff/trace_net_e2e_reasoned_response_draft_v12.py</x:v>
      </x:c>
      <x:c r="AB188" s="69" t="str">
        <x:v>shared &lt;= symbol:common, string:contract, string:schema; ingestion &lt;= path:tiff; ocr &lt;= string:ocr; tables &lt;= string:table; graph &lt;= string:graph; embeddings &lt;= string:embedding, string:qdrant</x:v>
      </x:c>
    </x:row>
    <x:row r="189">
      <x:c r="A189" s="68" t="n">
        <x:v>188</x:v>
      </x:c>
      <x:c r="B189" s="69" t="str">
        <x:v>tiff/trace_net_e2e_relationship_final_gate_hardener_v30.py</x:v>
      </x:c>
      <x:c r="C189" s="69" t="str">
        <x:v>trace_net_e2e_relationship_final_gate_hardener_v30.py</x:v>
      </x:c>
      <x:c r="D189" s="69" t="str">
        <x:v>graph</x:v>
      </x:c>
      <x:c r="E189" s="69" t="str">
        <x:v>benchmarks</x:v>
      </x:c>
      <x:c r="F189" s="69" t="str">
        <x:v>validation</x:v>
      </x:c>
      <x:c r="G189" s="69" t="str">
        <x:v>src/trace_net/validation/</x:v>
      </x:c>
      <x:c r="H189" s="69" t="str">
        <x:v>src/trace_net/validation/trace_net_e2e_relationship_final_gate_hardener_v30.py</x:v>
      </x:c>
      <x:c r="I189" s="69" t="str">
        <x:v>runtime validation/gating module</x:v>
      </x:c>
      <x:c r="J189" s="69" t="str">
        <x:v>MOVE_WITH_IMPORT_UPDATES_AND_COMPATIBILITY_WRAPPER</x:v>
      </x:c>
      <x:c r="K189" s="70" t="b">
        <x:v>1</x:v>
      </x:c>
      <x:c r="L189" s="70" t="b">
        <x:v>0</x:v>
      </x:c>
      <x:c r="M189" s="70" t="b">
        <x:v>1</x:v>
      </x:c>
      <x:c r="N189" s="69" t="n">
        <x:v>4</x:v>
      </x:c>
      <x:c r="O189" s="69" t="n">
        <x:v>0</x:v>
      </x:c>
      <x:c r="P189" s="69" t="str">
        <x:v>scripts/build_trace_net_e2e_relationship_final_gate_hardener_v30.py; scripts/check_trace_net_e2e_relationship_final_gate_hardener_v30_quality.py; tests/unit/test_trace_net_e2e_relationship_final_gate_hardener_v30.py; tiff/trace_net_e2e_live_relationship_final_gated_endpoint_v31.py</x:v>
      </x:c>
      <x:c r="Q189" s="71" t="n">
        <x:v>0.96</x:v>
      </x:c>
      <x:c r="R189" s="69" t="str">
        <x:v>validation/quality naming</x:v>
      </x:c>
      <x:c r="S189" s="69" t="str">
        <x:v>Implements a runtime gate, critic, hardener, or evidence sufficiency check.</x:v>
      </x:c>
      <x:c r="T189" s="69" t="str">
        <x:v>Preserve gating semantics and old import path until focused tests pass.</x:v>
      </x:c>
      <x:c r="U189" s="69" t="str"/>
      <x:c r="V189" s="69" t="str"/>
      <x:c r="W189" s="69" t="str"/>
      <x:c r="X189" s="72" t="n">
        <x:v>21045</x:v>
      </x:c>
      <x:c r="Y189" s="70" t="b">
        <x:v>1</x:v>
      </x:c>
      <x:c r="Z189" s="69" t="str">
        <x:v>Compatibility required</x:v>
      </x:c>
      <x:c r="AA189" s="69" t="str">
        <x:v>https://github.com/jwild2027/heico-ai-internship-summer-2026/blob/srv/tiff/trace_net_e2e_relationship_final_gate_hardener_v30.py</x:v>
      </x:c>
      <x:c r="AB189" s="69" t="str">
        <x:v>shared &lt;= string:contract; ingestion &lt;= path:tiff; graph &lt;= path:relationship, symbol:relationship, string:community, string:graph, string:leiden, string:relationship; embeddings &lt;= string:qdrant; retrieval &lt;= string:opensearch; router &lt;= string:router</x:v>
      </x:c>
    </x:row>
    <x:row r="190">
      <x:c r="A190" s="68" t="n">
        <x:v>189</x:v>
      </x:c>
      <x:c r="B190" s="69" t="str">
        <x:v>tiff/trace_net_e2e_relationship_router_hardening_v29_1.py</x:v>
      </x:c>
      <x:c r="C190" s="69" t="str">
        <x:v>trace_net_e2e_relationship_router_hardening_v29_1.py</x:v>
      </x:c>
      <x:c r="D190" s="69" t="str">
        <x:v>graph</x:v>
      </x:c>
      <x:c r="E190" s="69" t="str">
        <x:v>router, serving, ingestion</x:v>
      </x:c>
      <x:c r="F190" s="69" t="str">
        <x:v>router</x:v>
      </x:c>
      <x:c r="G190" s="69" t="str">
        <x:v>src/trace_net/router/</x:v>
      </x:c>
      <x:c r="H190" s="69" t="str">
        <x:v>src/trace_net/router/trace_net_e2e_relationship_router_hardening_v29_1.py</x:v>
      </x:c>
      <x:c r="I190" s="69" t="str">
        <x:v>active library module</x:v>
      </x:c>
      <x:c r="J190" s="69" t="str">
        <x:v>MOVE_WITH_IMPORT_UPDATES_AND_COMPATIBILITY_WRAPPER</x:v>
      </x:c>
      <x:c r="K190" s="70" t="b">
        <x:v>1</x:v>
      </x:c>
      <x:c r="L190" s="70" t="b">
        <x:v>0</x:v>
      </x:c>
      <x:c r="M190" s="70" t="b">
        <x:v>1</x:v>
      </x:c>
      <x:c r="N190" s="69" t="n">
        <x:v>5</x:v>
      </x:c>
      <x:c r="O190" s="69" t="n">
        <x:v>0</x:v>
      </x:c>
      <x:c r="P190" s="69" t="str">
        <x:v>scripts/build_trace_net_e2e_relationship_router_hardening_v29_1.py; scripts/check_trace_net_e2e_relationship_router_hardening_v29_1_quality.py; scripts/serve_trace_net_e2e_relationship_router_hardening_v29_1.py; tests/unit/test_trace_net_e2e_relationship_router_hardening_v29_1.py; tiff/trace_net_e2e_live_relationship_final_gated_endpoint_v31.py</x:v>
      </x:c>
      <x:c r="Q190" s="71" t="n">
        <x:v>0.95</x:v>
      </x:c>
      <x:c r="R190" s="69" t="str">
        <x:v>router/route naming</x:v>
      </x:c>
      <x:c r="S190" s="69" t="str">
        <x:v>Primary implementation belongs to the router stage based on filename, imports, and inventory evidence.</x:v>
      </x:c>
      <x:c r="T190" s="69" t="str">
        <x:v>Update imports and retain the old tiff module as a wrapper when callers exist.</x:v>
      </x:c>
      <x:c r="U190" s="69" t="str"/>
      <x:c r="V190" s="69" t="str"/>
      <x:c r="W190" s="69" t="str"/>
      <x:c r="X190" s="72" t="n">
        <x:v>57828</x:v>
      </x:c>
      <x:c r="Y190" s="70" t="b">
        <x:v>1</x:v>
      </x:c>
      <x:c r="Z190" s="69" t="str">
        <x:v>Compatibility required</x:v>
      </x:c>
      <x:c r="AA190" s="69" t="str">
        <x:v>https://github.com/jwild2027/heico-ai-internship-summer-2026/blob/srv/tiff/trace_net_e2e_relationship_router_hardening_v29_1.py</x:v>
      </x:c>
      <x:c r="AB190" s="69" t="str">
        <x:v>shared &lt;= string:contract, string:source_id, string:source_trace_id; ingestion &lt;= path:tiff, symbol:extract_page; tables &lt;= string:column, string:ipl, string:table; graph &lt;= path:relationship, symbol:graph, symbol:leiden, string:community, string:graph, string:has_context, string:has_nomenclature; embeddings &lt;= string:qdrant; retrieval &lt;= string:opensearch, string:retriev</x:v>
      </x:c>
    </x:row>
    <x:row r="191">
      <x:c r="A191" s="68" t="n">
        <x:v>190</x:v>
      </x:c>
      <x:c r="B191" s="69" t="str">
        <x:v>tiff/trace_net_e2e_route_brain_image_page_audit_v35_1.py</x:v>
      </x:c>
      <x:c r="C191" s="69" t="str">
        <x:v>trace_net_e2e_route_brain_image_page_audit_v35_1.py</x:v>
      </x:c>
      <x:c r="D191" s="69" t="str">
        <x:v>brain_engram</x:v>
      </x:c>
      <x:c r="E191" s="69" t="str">
        <x:v>ingestion, visual, benchmarks</x:v>
      </x:c>
      <x:c r="F191" s="69" t="str">
        <x:v>visual</x:v>
      </x:c>
      <x:c r="G191" s="69" t="str">
        <x:v>src/trace_net/visual/</x:v>
      </x:c>
      <x:c r="H191" s="69" t="str">
        <x:v>src/trace_net/visual/trace_net_e2e_route_brain_image_page_audit_v35_1.py</x:v>
      </x:c>
      <x:c r="I191" s="69" t="str">
        <x:v>active library module</x:v>
      </x:c>
      <x:c r="J191" s="69" t="str">
        <x:v>MOVE_WITH_IMPORT_UPDATES_AND_COMPATIBILITY_WRAPPER</x:v>
      </x:c>
      <x:c r="K191" s="70" t="b">
        <x:v>1</x:v>
      </x:c>
      <x:c r="L191" s="70" t="b">
        <x:v>0</x:v>
      </x:c>
      <x:c r="M191" s="70" t="b">
        <x:v>1</x:v>
      </x:c>
      <x:c r="N191" s="69" t="n">
        <x:v>3</x:v>
      </x:c>
      <x:c r="O191" s="69" t="n">
        <x:v>0</x:v>
      </x:c>
      <x:c r="P191" s="69" t="str">
        <x:v>scripts/build_trace_net_e2e_route_brain_image_page_audit_v35_1.py; scripts/check_trace_net_e2e_route_brain_image_page_audit_v35_1_quality.py; tests/unit/test_trace_net_e2e_route_brain_image_page_audit_v35_1.py</x:v>
      </x:c>
      <x:c r="Q191" s="71" t="n">
        <x:v>0.95</x:v>
      </x:c>
      <x:c r="R191" s="69" t="str">
        <x:v>visual/image/vision naming</x:v>
      </x:c>
      <x:c r="S191" s="69" t="str">
        <x:v>Primary implementation belongs to the visual stage based on filename, imports, and inventory evidence.</x:v>
      </x:c>
      <x:c r="T191" s="69" t="str">
        <x:v>Update imports and retain the old tiff module as a wrapper when callers exist.</x:v>
      </x:c>
      <x:c r="U191" s="69" t="str"/>
      <x:c r="V191" s="69" t="str"/>
      <x:c r="W191" s="69" t="str"/>
      <x:c r="X191" s="72" t="n">
        <x:v>26145</x:v>
      </x:c>
      <x:c r="Y191" s="70" t="b">
        <x:v>1</x:v>
      </x:c>
      <x:c r="Z191" s="69" t="str">
        <x:v>Compatibility required</x:v>
      </x:c>
      <x:c r="AA191" s="69" t="str">
        <x:v>https://github.com/jwild2027/heico-ai-internship-summer-2026/blob/srv/tiff/trace_net_e2e_route_brain_image_page_audit_v35_1.py</x:v>
      </x:c>
      <x:c r="AB191" s="69" t="str">
        <x:v>shared &lt;= string:contract; ingestion &lt;= path:tiff, symbol:extract_page, symbol:tiff, string:tiff; visual &lt;= symbol:diagram, string:callout, string:diagram, string:image_visual, string:visual; tables &lt;= symbol:table, string:table; graph &lt;= string:graph; embeddings &lt;= string:qdrant</x:v>
      </x:c>
    </x:row>
    <x:row r="192">
      <x:c r="A192" s="68" t="n">
        <x:v>191</x:v>
      </x:c>
      <x:c r="B192" s="69" t="str">
        <x:v>tiff/trace_net_e2e_route_scoped_visual_context_builder_v35.py</x:v>
      </x:c>
      <x:c r="C192" s="69" t="str">
        <x:v>trace_net_e2e_route_scoped_visual_context_builder_v35.py</x:v>
      </x:c>
      <x:c r="D192" s="69" t="str">
        <x:v>visual</x:v>
      </x:c>
      <x:c r="E192" s="69" t="str">
        <x:v>ingestion, serving, benchmarks</x:v>
      </x:c>
      <x:c r="F192" s="69" t="str">
        <x:v>visual</x:v>
      </x:c>
      <x:c r="G192" s="69" t="str">
        <x:v>src/trace_net/visual/</x:v>
      </x:c>
      <x:c r="H192" s="69" t="str">
        <x:v>src/trace_net/visual/trace_net_e2e_route_scoped_visual_context_builder_v35.py</x:v>
      </x:c>
      <x:c r="I192" s="69" t="str">
        <x:v>artifact builder implementation</x:v>
      </x:c>
      <x:c r="J192" s="69" t="str">
        <x:v>MOVE_WITH_IMPORT_UPDATES_AND_COMPATIBILITY_WRAPPER</x:v>
      </x:c>
      <x:c r="K192" s="70" t="b">
        <x:v>1</x:v>
      </x:c>
      <x:c r="L192" s="70" t="b">
        <x:v>0</x:v>
      </x:c>
      <x:c r="M192" s="70" t="b">
        <x:v>1</x:v>
      </x:c>
      <x:c r="N192" s="69" t="n">
        <x:v>3</x:v>
      </x:c>
      <x:c r="O192" s="69" t="n">
        <x:v>0</x:v>
      </x:c>
      <x:c r="P192" s="69" t="str">
        <x:v>scripts/build_trace_net_e2e_route_scoped_visual_context_builder_v35.py; scripts/check_trace_net_e2e_route_scoped_visual_context_builder_v35_quality.py; tests/unit/test_trace_net_e2e_route_scoped_visual_context_builder_v35.py</x:v>
      </x:c>
      <x:c r="Q192" s="71" t="n">
        <x:v>0.96</x:v>
      </x:c>
      <x:c r="R192" s="69" t="str">
        <x:v>visual/image/vision naming</x:v>
      </x:c>
      <x:c r="S192" s="69" t="str">
        <x:v>Build implementation is imported by active wrappers/tests and belongs to the visual package.</x:v>
      </x:c>
      <x:c r="T192" s="69" t="str">
        <x:v>Update wrapper imports and compare generated artifact counts/checksums.</x:v>
      </x:c>
      <x:c r="U192" s="69" t="str"/>
      <x:c r="V192" s="69" t="str"/>
      <x:c r="W192" s="69" t="str"/>
      <x:c r="X192" s="72" t="n">
        <x:v>35692</x:v>
      </x:c>
      <x:c r="Y192" s="70" t="b">
        <x:v>1</x:v>
      </x:c>
      <x:c r="Z192" s="69" t="str">
        <x:v>Compatibility required</x:v>
      </x:c>
      <x:c r="AA192" s="69" t="str">
        <x:v>https://github.com/jwild2027/heico-ai-internship-summer-2026/blob/srv/tiff/trace_net_e2e_route_scoped_visual_context_builder_v35.py</x:v>
      </x:c>
      <x:c r="AB192" s="69" t="str">
        <x:v>shared &lt;= string:contract; ingestion &lt;= path:tiff, symbol:extract_page, symbol:tiff, import:tiff, string:tiff; ocr &lt;= symbol:ocr, string:ocr; visual &lt;= path:visual, symbol:visual, import:image_visual, import:visual, string:callout, string:diagram, string:image_visual, string:llava; tables &lt;= symbol:table; graph &lt;= string:graph</x:v>
      </x:c>
    </x:row>
    <x:row r="193">
      <x:c r="A193" s="68" t="n">
        <x:v>192</x:v>
      </x:c>
      <x:c r="B193" s="69" t="str">
        <x:v>tiff/trace_net_e2e_self_rag_context_critic_v9.py</x:v>
      </x:c>
      <x:c r="C193" s="69" t="str">
        <x:v>trace_net_e2e_self_rag_context_critic_v9.py</x:v>
      </x:c>
      <x:c r="D193" s="69" t="str">
        <x:v>validation</x:v>
      </x:c>
      <x:c r="E193" s="69" t="str"/>
      <x:c r="F193" s="69" t="str">
        <x:v>validation</x:v>
      </x:c>
      <x:c r="G193" s="69" t="str">
        <x:v>src/trace_net/validation/</x:v>
      </x:c>
      <x:c r="H193" s="69" t="str">
        <x:v>src/trace_net/validation/trace_net_e2e_self_rag_context_critic_v9.py</x:v>
      </x:c>
      <x:c r="I193" s="69" t="str">
        <x:v>runtime validation/gating module</x:v>
      </x:c>
      <x:c r="J193" s="69" t="str">
        <x:v>MOVE_WITH_IMPORT_UPDATES_AND_COMPATIBILITY_WRAPPER</x:v>
      </x:c>
      <x:c r="K193" s="70" t="b">
        <x:v>1</x:v>
      </x:c>
      <x:c r="L193" s="70" t="b">
        <x:v>0</x:v>
      </x:c>
      <x:c r="M193" s="70" t="b">
        <x:v>1</x:v>
      </x:c>
      <x:c r="N193" s="69" t="n">
        <x:v>2</x:v>
      </x:c>
      <x:c r="O193" s="69" t="n">
        <x:v>0</x:v>
      </x:c>
      <x:c r="P193" s="69" t="str">
        <x:v>scripts/build_trace_net_e2e_self_rag_context_critic_v9.py; tests/unit/test_trace_net_e2e_self_rag_context_critic_v9.py</x:v>
      </x:c>
      <x:c r="Q193" s="71" t="n">
        <x:v>0.96</x:v>
      </x:c>
      <x:c r="R193" s="69" t="str">
        <x:v>cross-cutting validation/reliability</x:v>
      </x:c>
      <x:c r="S193" s="69" t="str">
        <x:v>Implements a runtime gate, critic, hardener, or evidence sufficiency check.</x:v>
      </x:c>
      <x:c r="T193" s="69" t="str">
        <x:v>Preserve gating semantics and old import path until focused tests pass.</x:v>
      </x:c>
      <x:c r="U193" s="69" t="str"/>
      <x:c r="V193" s="69" t="str"/>
      <x:c r="W193" s="69" t="str"/>
      <x:c r="X193" s="72" t="n">
        <x:v>25168</x:v>
      </x:c>
      <x:c r="Y193" s="70" t="b">
        <x:v>1</x:v>
      </x:c>
      <x:c r="Z193" s="69" t="str">
        <x:v>Compatibility required</x:v>
      </x:c>
      <x:c r="AA193" s="69" t="str">
        <x:v>https://github.com/jwild2027/heico-ai-internship-summer-2026/blob/srv/tiff/trace_net_e2e_self_rag_context_critic_v9.py</x:v>
      </x:c>
      <x:c r="AB193" s="69" t="str">
        <x:v>shared &lt;= symbol:common, string:contract, string:schema; ingestion &lt;= path:tiff, string:ingest; ocr &lt;= string:ocr; tables &lt;= string:ipl, string:table; graph &lt;= string:graph; embeddings &lt;= string:embedding, string:qdrant</x:v>
      </x:c>
    </x:row>
    <x:row r="194">
      <x:c r="A194" s="68" t="n">
        <x:v>193</x:v>
      </x:c>
      <x:c r="B194" s="69" t="str">
        <x:v>tiff/trace_net_e2e_tool_usage_audit_v1.py</x:v>
      </x:c>
      <x:c r="C194" s="69" t="str">
        <x:v>trace_net_e2e_tool_usage_audit_v1.py</x:v>
      </x:c>
      <x:c r="D194" s="69" t="str">
        <x:v>serving</x:v>
      </x:c>
      <x:c r="E194" s="69" t="str">
        <x:v>ingestion, visual</x:v>
      </x:c>
      <x:c r="F194" s="69" t="str">
        <x:v>validation</x:v>
      </x:c>
      <x:c r="G194" s="69" t="str">
        <x:v>src/trace_net/validation/</x:v>
      </x:c>
      <x:c r="H194" s="69" t="str">
        <x:v>src/trace_net/validation/trace_net_e2e_tool_usage_audit_v1.py</x:v>
      </x:c>
      <x:c r="I194" s="69" t="str">
        <x:v>active library module</x:v>
      </x:c>
      <x:c r="J194" s="69" t="str">
        <x:v>MOVE_WITH_PROTECTED_COMPATIBILITY_WRAPPER</x:v>
      </x:c>
      <x:c r="K194" s="70" t="b">
        <x:v>1</x:v>
      </x:c>
      <x:c r="L194" s="70" t="b">
        <x:v>1</x:v>
      </x:c>
      <x:c r="M194" s="70" t="b">
        <x:v>1</x:v>
      </x:c>
      <x:c r="N194" s="69" t="n">
        <x:v>4</x:v>
      </x:c>
      <x:c r="O194" s="69" t="n">
        <x:v>0</x:v>
      </x:c>
      <x:c r="P194" s="69" t="str">
        <x:v>scripts/build_trace_net_e2e_tool_usage_audit_v1.py; scripts/check_trace_net_e2e_tool_usage_audit_v1_quality.py; tests/unit/test_trace_net_e2e_tool_usage_audit_v1.py; tests/unit/test_trace_net_e2e_tool_usage_audit_v1_quality.py</x:v>
      </x:c>
      <x:c r="Q194" s="71" t="n">
        <x:v>0.95</x:v>
      </x:c>
      <x:c r="R194" s="69" t="str">
        <x:v>cross-cutting validation/reliability</x:v>
      </x:c>
      <x:c r="S194" s="69" t="str">
        <x:v>Primary implementation belongs to the validation stage based on filename, imports, and inventory evidence.</x:v>
      </x:c>
      <x:c r="T194" s="69" t="str">
        <x:v>Update imports and retain the old tiff module as a wrapper when callers exist.</x:v>
      </x:c>
      <x:c r="U194" s="69" t="str">
        <x:v>8044</x:v>
      </x:c>
      <x:c r="V194" s="69" t="str">
        <x:v>TRACE_NET_E2E_TOOL_USAGE_AUDIT_BUILT</x:v>
      </x:c>
      <x:c r="W194" s="69" t="str"/>
      <x:c r="X194" s="72" t="n">
        <x:v>26187</x:v>
      </x:c>
      <x:c r="Y194" s="70" t="b">
        <x:v>1</x:v>
      </x:c>
      <x:c r="Z194" s="69" t="str">
        <x:v>Protected runtime</x:v>
      </x:c>
      <x:c r="AA194" s="69" t="str">
        <x:v>https://github.com/jwild2027/heico-ai-internship-summer-2026/blob/srv/tiff/trace_net_e2e_tool_usage_audit_v1.py</x:v>
      </x:c>
      <x:c r="AB194" s="69" t="str">
        <x:v>shared &lt;= string:contract; ingestion &lt;= path:tiff; ocr &lt;= string:fishnet, string:ocr; visual &lt;= string:callout, string:diagram, string:image_route, string:image_visual; tables &lt;= string:ipl, string:table; graph &lt;= string:community, string:graph, string:leiden</x:v>
      </x:c>
    </x:row>
    <x:row r="195">
      <x:c r="A195" s="68" t="n">
        <x:v>194</x:v>
      </x:c>
      <x:c r="B195" s="69" t="str">
        <x:v>tiff/trace_net_e2e_webui_final_answer_endpoint_v14.py</x:v>
      </x:c>
      <x:c r="C195" s="69" t="str">
        <x:v>trace_net_e2e_webui_final_answer_endpoint_v14.py</x:v>
      </x:c>
      <x:c r="D195" s="69" t="str">
        <x:v>serving</x:v>
      </x:c>
      <x:c r="E195" s="69" t="str">
        <x:v>llm_writing</x:v>
      </x:c>
      <x:c r="F195" s="69" t="str">
        <x:v>serving</x:v>
      </x:c>
      <x:c r="G195" s="69" t="str">
        <x:v>src/trace_net/serving/</x:v>
      </x:c>
      <x:c r="H195" s="69" t="str">
        <x:v>src/trace_net/serving/trace_net_e2e_webui_final_answer_endpoint_v14.py</x:v>
      </x:c>
      <x:c r="I195" s="69" t="str">
        <x:v>serving/runtime module</x:v>
      </x:c>
      <x:c r="J195" s="69" t="str">
        <x:v>MOVE_WITH_PROTECTED_COMPATIBILITY_WRAPPER</x:v>
      </x:c>
      <x:c r="K195" s="70" t="b">
        <x:v>1</x:v>
      </x:c>
      <x:c r="L195" s="70" t="b">
        <x:v>1</x:v>
      </x:c>
      <x:c r="M195" s="70" t="b">
        <x:v>1</x:v>
      </x:c>
      <x:c r="N195" s="69" t="n">
        <x:v>5</x:v>
      </x:c>
      <x:c r="O195" s="69" t="n">
        <x:v>0</x:v>
      </x:c>
      <x:c r="P195" s="69" t="str">
        <x:v>scripts/build_trace_net_e2e_webui_final_answer_endpoint_v14.py; scripts/check_trace_net_e2e_webui_final_answer_endpoint_v14_quality.py; scripts/serve_trace_net_e2e_webui_final_answer_endpoint_v14.py; tests/unit/test_trace_net_e2e_webui_final_answer_endpoint_v14.py; tiff/trace_net_e2e_live_query_pipeline_v15.py</x:v>
      </x:c>
      <x:c r="Q195" s="71" t="n">
        <x:v>0.98</x:v>
      </x:c>
      <x:c r="R195" s="69" t="str">
        <x:v>answer/writer naming</x:v>
      </x:c>
      <x:c r="S195" s="69" t="str">
        <x:v>API, endpoint, server, bridge, or console implementation used by runtime callers.</x:v>
      </x:c>
      <x:c r="T195" s="69" t="str">
        <x:v>Old entrypoint must remain callable; verify relevant ports and OpenWebUI behavior.</x:v>
      </x:c>
      <x:c r="U195" s="69" t="str">
        <x:v>8017</x:v>
      </x:c>
      <x:c r="V195" s="69" t="str"/>
      <x:c r="W195" s="69" t="str"/>
      <x:c r="X195" s="72" t="n">
        <x:v>25946</x:v>
      </x:c>
      <x:c r="Y195" s="70" t="b">
        <x:v>1</x:v>
      </x:c>
      <x:c r="Z195" s="69" t="str">
        <x:v>Protected runtime</x:v>
      </x:c>
      <x:c r="AA195" s="69" t="str">
        <x:v>https://github.com/jwild2027/heico-ai-internship-summer-2026/blob/srv/tiff/trace_net_e2e_webui_final_answer_endpoint_v14.py</x:v>
      </x:c>
      <x:c r="AB195" s="69" t="str">
        <x:v>shared &lt;= string:contract, string:schema; ingestion &lt;= path:tiff; ocr &lt;= string:ocr; tables &lt;= string:table; graph &lt;= string:graph; embeddings &lt;= string:embedding, string:qdrant</x:v>
      </x:c>
    </x:row>
    <x:row r="196">
      <x:c r="A196" s="68" t="n">
        <x:v>195</x:v>
      </x:c>
      <x:c r="B196" s="69" t="str">
        <x:v>tiff/trace_net_element_category_taxonomy_v1.py</x:v>
      </x:c>
      <x:c r="C196" s="69" t="str">
        <x:v>trace_net_element_category_taxonomy_v1.py</x:v>
      </x:c>
      <x:c r="D196" s="69" t="str">
        <x:v>visual</x:v>
      </x:c>
      <x:c r="E196" s="69" t="str">
        <x:v>tables, graph, shared, ingestion</x:v>
      </x:c>
      <x:c r="F196" s="69" t="str">
        <x:v>ingestion</x:v>
      </x:c>
      <x:c r="G196" s="69" t="str">
        <x:v>src/trace_net/ingestion/</x:v>
      </x:c>
      <x:c r="H196" s="69" t="str">
        <x:v>src/trace_net/ingestion/trace_net_element_category_taxonomy_v1.py</x:v>
      </x:c>
      <x:c r="I196" s="69" t="str">
        <x:v>artifact builder implementation</x:v>
      </x:c>
      <x:c r="J196" s="69" t="str">
        <x:v>MOVE_WITH_IMPORT_UPDATES_AND_COMPATIBILITY_WRAPPER</x:v>
      </x:c>
      <x:c r="K196" s="70" t="b">
        <x:v>1</x:v>
      </x:c>
      <x:c r="L196" s="70" t="b">
        <x:v>0</x:v>
      </x:c>
      <x:c r="M196" s="70" t="b">
        <x:v>1</x:v>
      </x:c>
      <x:c r="N196" s="69" t="n">
        <x:v>4</x:v>
      </x:c>
      <x:c r="O196" s="69" t="n">
        <x:v>0</x:v>
      </x:c>
      <x:c r="P196" s="69" t="str">
        <x:v>scripts/build_trace_net_element_category_taxonomy_v1.py; scripts/check_trace_net_element_category_taxonomy_v1_quality.py; tests/unit/test_trace_net_element_category_taxonomy_v1.py; tests/unit/test_trace_net_element_category_taxonomy_v1_quality.py</x:v>
      </x:c>
      <x:c r="Q196" s="71" t="n">
        <x:v>0.96</x:v>
      </x:c>
      <x:c r="R196" s="69" t="str">
        <x:v>ingestion/classification naming</x:v>
      </x:c>
      <x:c r="S196" s="69" t="str">
        <x:v>Build implementation is imported by active wrappers/tests and belongs to the ingestion package.</x:v>
      </x:c>
      <x:c r="T196" s="69" t="str">
        <x:v>Update wrapper imports and compare generated artifact counts/checksums.</x:v>
      </x:c>
      <x:c r="U196" s="69" t="str"/>
      <x:c r="V196" s="69" t="str"/>
      <x:c r="W196" s="69" t="str"/>
      <x:c r="X196" s="72" t="n">
        <x:v>58114</x:v>
      </x:c>
      <x:c r="Y196" s="70" t="b">
        <x:v>1</x:v>
      </x:c>
      <x:c r="Z196" s="69" t="str">
        <x:v>Compatibility required</x:v>
      </x:c>
      <x:c r="AA196" s="69" t="str">
        <x:v>https://github.com/jwild2027/heico-ai-internship-summer-2026/blob/srv/tiff/trace_net_element_category_taxonomy_v1.py</x:v>
      </x:c>
      <x:c r="AB196" s="69" t="str">
        <x:v>shared &lt;= symbol:dublin_core, string:contract, string:helper; ingestion &lt;= path:tiff; ocr &lt;= string:fishnet, string:ocr; visual &lt;= symbol:callout, string:callout, string:diagram, string:visual, string:visual_region; tables &lt;= symbol:table, string:table, string:table_cell, string:table_element, string:table_row; graph &lt;= symbol:graph, symbol:leiden, string:community, string:graph, string:leiden</x:v>
      </x:c>
    </x:row>
    <x:row r="197">
      <x:c r="A197" s="68" t="n">
        <x:v>196</x:v>
      </x:c>
      <x:c r="B197" s="69" t="str">
        <x:v>tiff/trace_net_element_graph_attachment_plan_v1.py</x:v>
      </x:c>
      <x:c r="C197" s="69" t="str">
        <x:v>trace_net_element_graph_attachment_plan_v1.py</x:v>
      </x:c>
      <x:c r="D197" s="69" t="str">
        <x:v>graph</x:v>
      </x:c>
      <x:c r="E197" s="69" t="str">
        <x:v>embeddings, tables, ingestion, benchmarks</x:v>
      </x:c>
      <x:c r="F197" s="69" t="str">
        <x:v>graph</x:v>
      </x:c>
      <x:c r="G197" s="69" t="str">
        <x:v>src/trace_net/graph/</x:v>
      </x:c>
      <x:c r="H197" s="69" t="str">
        <x:v>src/trace_net/graph/trace_net_element_graph_attachment_plan_v1.py</x:v>
      </x:c>
      <x:c r="I197" s="69" t="str">
        <x:v>active library module</x:v>
      </x:c>
      <x:c r="J197" s="69" t="str">
        <x:v>MOVE_WITH_IMPORT_UPDATES_AND_COMPATIBILITY_WRAPPER</x:v>
      </x:c>
      <x:c r="K197" s="70" t="b">
        <x:v>1</x:v>
      </x:c>
      <x:c r="L197" s="70" t="b">
        <x:v>0</x:v>
      </x:c>
      <x:c r="M197" s="70" t="b">
        <x:v>1</x:v>
      </x:c>
      <x:c r="N197" s="69" t="n">
        <x:v>4</x:v>
      </x:c>
      <x:c r="O197" s="69" t="n">
        <x:v>0</x:v>
      </x:c>
      <x:c r="P197" s="69" t="str">
        <x:v>scripts/build_trace_net_element_graph_attachment_plan_v1.py; scripts/check_trace_net_element_graph_attachment_plan_v1_quality.py; tests/unit/test_trace_net_element_graph_attachment_plan_v1.py; tests/unit/test_trace_net_element_graph_attachment_plan_v1_quality.py</x:v>
      </x:c>
      <x:c r="Q197" s="71" t="n">
        <x:v>0.95</x:v>
      </x:c>
      <x:c r="R197" s="69" t="str">
        <x:v>graph/Leiden/Postgres naming</x:v>
      </x:c>
      <x:c r="S197" s="69" t="str">
        <x:v>Primary implementation belongs to the graph stage based on filename, imports, and inventory evidence.</x:v>
      </x:c>
      <x:c r="T197" s="69" t="str">
        <x:v>Update imports and retain the old tiff module as a wrapper when callers exist.</x:v>
      </x:c>
      <x:c r="U197" s="69" t="str"/>
      <x:c r="V197" s="69" t="str"/>
      <x:c r="W197" s="69" t="str"/>
      <x:c r="X197" s="72" t="n">
        <x:v>55108</x:v>
      </x:c>
      <x:c r="Y197" s="70" t="b">
        <x:v>1</x:v>
      </x:c>
      <x:c r="Z197" s="69" t="str">
        <x:v>Compatibility required</x:v>
      </x:c>
      <x:c r="AA197" s="69" t="str">
        <x:v>https://github.com/jwild2027/heico-ai-internship-summer-2026/blob/srv/tiff/trace_net_element_graph_attachment_plan_v1.py</x:v>
      </x:c>
      <x:c r="AB197" s="69" t="str">
        <x:v>shared &lt;= symbol:common, string:helper, string:schema; ingestion &lt;= path:tiff, string:tiff; ocr &lt;= symbol:fishnet, string:fishnet, string:ocr; visual &lt;= symbol:visual, string:callout, string:visual; tables &lt;= symbol:table, string:table, string:table_cell, string:table_row; graph &lt;= path:graph, symbol:graph, string:graph</x:v>
      </x:c>
    </x:row>
    <x:row r="198">
      <x:c r="A198" s="68" t="n">
        <x:v>197</x:v>
      </x:c>
      <x:c r="B198" s="69" t="str">
        <x:v>tiff/trace_net_embedding_candidates_v1.py</x:v>
      </x:c>
      <x:c r="C198" s="69" t="str">
        <x:v>trace_net_embedding_candidates_v1.py</x:v>
      </x:c>
      <x:c r="D198" s="69" t="str">
        <x:v>embeddings</x:v>
      </x:c>
      <x:c r="E198" s="69" t="str">
        <x:v>shared, tables, benchmarks, ingestion</x:v>
      </x:c>
      <x:c r="F198" s="69" t="str">
        <x:v>embeddings</x:v>
      </x:c>
      <x:c r="G198" s="69" t="str">
        <x:v>src/trace_net/embeddings/</x:v>
      </x:c>
      <x:c r="H198" s="69" t="str">
        <x:v>src/trace_net/embeddings/trace_net_embedding_candidates_v1.py</x:v>
      </x:c>
      <x:c r="I198" s="69" t="str">
        <x:v>active library module</x:v>
      </x:c>
      <x:c r="J198" s="69" t="str">
        <x:v>MOVE_WITH_IMPORT_UPDATES_AND_COMPATIBILITY_WRAPPER</x:v>
      </x:c>
      <x:c r="K198" s="70" t="b">
        <x:v>1</x:v>
      </x:c>
      <x:c r="L198" s="70" t="b">
        <x:v>0</x:v>
      </x:c>
      <x:c r="M198" s="70" t="b">
        <x:v>1</x:v>
      </x:c>
      <x:c r="N198" s="69" t="n">
        <x:v>4</x:v>
      </x:c>
      <x:c r="O198" s="69" t="n">
        <x:v>0</x:v>
      </x:c>
      <x:c r="P198" s="69" t="str">
        <x:v>scripts/build_trace_net_embedding_candidates_v1.py; scripts/check_trace_net_embedding_candidates_v1_quality.py; tests/unit/test_trace_net_embedding_candidates_v1.py; tests/unit/test_trace_net_embedding_candidates_v1_quality.py</x:v>
      </x:c>
      <x:c r="Q198" s="71" t="n">
        <x:v>0.95</x:v>
      </x:c>
      <x:c r="R198" s="69" t="str">
        <x:v>embedding/Qdrant naming</x:v>
      </x:c>
      <x:c r="S198" s="69" t="str">
        <x:v>Primary implementation belongs to the embeddings stage based on filename, imports, and inventory evidence.</x:v>
      </x:c>
      <x:c r="T198" s="69" t="str">
        <x:v>Update imports and retain the old tiff module as a wrapper when callers exist.</x:v>
      </x:c>
      <x:c r="U198" s="69" t="str"/>
      <x:c r="V198" s="69" t="str">
        <x:v>TRACE_NET_DATABASE_URL</x:v>
      </x:c>
      <x:c r="W198" s="69" t="str"/>
      <x:c r="X198" s="72" t="n">
        <x:v>63911</x:v>
      </x:c>
      <x:c r="Y198" s="70" t="b">
        <x:v>1</x:v>
      </x:c>
      <x:c r="Z198" s="69" t="str">
        <x:v>Compatibility required</x:v>
      </x:c>
      <x:c r="AA198" s="69" t="str">
        <x:v>https://github.com/jwild2027/heico-ai-internship-summer-2026/blob/srv/tiff/trace_net_embedding_candidates_v1.py</x:v>
      </x:c>
      <x:c r="AB198" s="69" t="str">
        <x:v>shared &lt;= symbol:helper, symbol:source_id, symbol:trust_tier, string:helper, string:schema, string:trust_tier; ingestion &lt;= path:tiff, symbol:extract_page, string:tiff; ocr &lt;= string:ocr; visual &lt;= string:visual; tables &lt;= symbol:column, symbol:table, symbol:table_row, string:table; graph &lt;= string:graph</x:v>
      </x:c>
    </x:row>
    <x:row r="199">
      <x:c r="A199" s="68" t="n">
        <x:v>198</x:v>
      </x:c>
      <x:c r="B199" s="69" t="str">
        <x:v>tiff/trace_net_engineering_answer_composer_v1.py</x:v>
      </x:c>
      <x:c r="C199" s="69" t="str">
        <x:v>trace_net_engineering_answer_composer_v1.py</x:v>
      </x:c>
      <x:c r="D199" s="69" t="str">
        <x:v>context</x:v>
      </x:c>
      <x:c r="E199" s="69" t="str">
        <x:v>visual, ingestion</x:v>
      </x:c>
      <x:c r="F199" s="69" t="str">
        <x:v>writing</x:v>
      </x:c>
      <x:c r="G199" s="69" t="str">
        <x:v>src/trace_net/writing/</x:v>
      </x:c>
      <x:c r="H199" s="69" t="str">
        <x:v>src/trace_net/writing/trace_net_engineering_answer_composer_v1.py</x:v>
      </x:c>
      <x:c r="I199" s="69" t="str">
        <x:v>active library module</x:v>
      </x:c>
      <x:c r="J199" s="69" t="str">
        <x:v>MOVE_WITH_IMPORT_UPDATES_AND_COMPATIBILITY_WRAPPER</x:v>
      </x:c>
      <x:c r="K199" s="70" t="b">
        <x:v>1</x:v>
      </x:c>
      <x:c r="L199" s="70" t="b">
        <x:v>0</x:v>
      </x:c>
      <x:c r="M199" s="70" t="b">
        <x:v>1</x:v>
      </x:c>
      <x:c r="N199" s="69" t="n">
        <x:v>4</x:v>
      </x:c>
      <x:c r="O199" s="69" t="n">
        <x:v>1</x:v>
      </x:c>
      <x:c r="P199" s="69" t="str">
        <x:v>scripts/build_trace_net_engineering_answer_composer_v1.py; scripts/check_trace_net_engineering_answer_composer_v1.py; tests/unit/test_trace_net_engineering_answer_composer_v1.py; tiff/trace_net_engineering_answer_runner_v1.py; scripts/fix_trace_net_engineering_stage_write_dirs_v1.py</x:v>
      </x:c>
      <x:c r="Q199" s="71" t="n">
        <x:v>0.95</x:v>
      </x:c>
      <x:c r="R199" s="69" t="str">
        <x:v>answer/writer naming</x:v>
      </x:c>
      <x:c r="S199" s="69" t="str">
        <x:v>Primary implementation belongs to the writing stage based on filename, imports, and inventory evidence.</x:v>
      </x:c>
      <x:c r="T199" s="69" t="str">
        <x:v>Update imports and retain the old tiff module as a wrapper when callers exist.</x:v>
      </x:c>
      <x:c r="U199" s="69" t="str"/>
      <x:c r="V199" s="69" t="str">
        <x:v>TRACE_NET_ENGINEERING_ANSWER_COMPOSER_BUILT, TRACE_NET_ENGINEERING_ANSWER_COMPOSER_QUALITY_CHECKED</x:v>
      </x:c>
      <x:c r="W199" s="69" t="str"/>
      <x:c r="X199" s="72" t="n">
        <x:v>25956</x:v>
      </x:c>
      <x:c r="Y199" s="70" t="b">
        <x:v>1</x:v>
      </x:c>
      <x:c r="Z199" s="69" t="str">
        <x:v>Compatibility required</x:v>
      </x:c>
      <x:c r="AA199" s="69" t="str">
        <x:v>https://github.com/jwild2027/heico-ai-internship-summer-2026/blob/srv/tiff/trace_net_engineering_answer_composer_v1.py</x:v>
      </x:c>
      <x:c r="AB199" s="69" t="str">
        <x:v>shared &lt;= string:contract; ingestion &lt;= path:tiff; ocr &lt;= string:ocr; visual &lt;= symbol:llava, string:figure_link, string:llava, string:visual; tables &lt;= string:ipl, string:table; embeddings &lt;= string:qdrant</x:v>
      </x:c>
    </x:row>
    <x:row r="200">
      <x:c r="A200" s="68" t="n">
        <x:v>199</x:v>
      </x:c>
      <x:c r="B200" s="69" t="str">
        <x:v>tiff/trace_net_engineering_answer_context_pack_v1.py</x:v>
      </x:c>
      <x:c r="C200" s="69" t="str">
        <x:v>trace_net_engineering_answer_context_pack_v1.py</x:v>
      </x:c>
      <x:c r="D200" s="69" t="str">
        <x:v>context</x:v>
      </x:c>
      <x:c r="E200" s="69" t="str">
        <x:v>visual</x:v>
      </x:c>
      <x:c r="F200" s="69" t="str">
        <x:v>context</x:v>
      </x:c>
      <x:c r="G200" s="69" t="str">
        <x:v>src/trace_net/context/</x:v>
      </x:c>
      <x:c r="H200" s="69" t="str">
        <x:v>src/trace_net/context/trace_net_engineering_answer_context_pack_v1.py</x:v>
      </x:c>
      <x:c r="I200" s="69" t="str">
        <x:v>active library module</x:v>
      </x:c>
      <x:c r="J200" s="69" t="str">
        <x:v>MOVE_WITH_IMPORT_UPDATES_AND_COMPATIBILITY_WRAPPER</x:v>
      </x:c>
      <x:c r="K200" s="70" t="b">
        <x:v>1</x:v>
      </x:c>
      <x:c r="L200" s="70" t="b">
        <x:v>0</x:v>
      </x:c>
      <x:c r="M200" s="70" t="b">
        <x:v>1</x:v>
      </x:c>
      <x:c r="N200" s="69" t="n">
        <x:v>4</x:v>
      </x:c>
      <x:c r="O200" s="69" t="n">
        <x:v>1</x:v>
      </x:c>
      <x:c r="P200" s="69" t="str">
        <x:v>scripts/build_trace_net_engineering_answer_context_pack_v1.py; scripts/check_trace_net_engineering_answer_context_pack_v1.py; tests/unit/test_trace_net_engineering_answer_context_pack_v1.py; tiff/trace_net_engineering_answer_runner_v1.py; scripts/fix_trace_net_engineering_stage_write_dirs_v1.py</x:v>
      </x:c>
      <x:c r="Q200" s="71" t="n">
        <x:v>0.95</x:v>
      </x:c>
      <x:c r="R200" s="69" t="str">
        <x:v>context/evidence naming</x:v>
      </x:c>
      <x:c r="S200" s="69" t="str">
        <x:v>Primary implementation belongs to the context stage based on filename, imports, and inventory evidence.</x:v>
      </x:c>
      <x:c r="T200" s="69" t="str">
        <x:v>Update imports and retain the old tiff module as a wrapper when callers exist.</x:v>
      </x:c>
      <x:c r="U200" s="69" t="str"/>
      <x:c r="V200" s="69" t="str">
        <x:v>TRACE_NET_ENGINEERING_ANSWER_CONTEXT_PACK_BUILT, TRACE_NET_ENGINEERING_ANSWER_CONTEXT_PACK_QUALITY_CHECKED</x:v>
      </x:c>
      <x:c r="W200" s="69" t="str"/>
      <x:c r="X200" s="72" t="n">
        <x:v>31977</x:v>
      </x:c>
      <x:c r="Y200" s="70" t="b">
        <x:v>1</x:v>
      </x:c>
      <x:c r="Z200" s="69" t="str">
        <x:v>Compatibility required</x:v>
      </x:c>
      <x:c r="AA200" s="69" t="str">
        <x:v>https://github.com/jwild2027/heico-ai-internship-summer-2026/blob/srv/tiff/trace_net_engineering_answer_context_pack_v1.py</x:v>
      </x:c>
      <x:c r="AB200" s="69" t="str">
        <x:v>ingestion &lt;= path:tiff; ocr &lt;= symbol:ocr, string:ocr; visual &lt;= symbol:visual, string:callout, string:image_visual, string:llava, string:visual; tables &lt;= symbol:table, string:table; embeddings &lt;= string:qdrant; retrieval &lt;= string:opensearch</x:v>
      </x:c>
    </x:row>
    <x:row r="201">
      <x:c r="A201" s="68" t="n">
        <x:v>200</x:v>
      </x:c>
      <x:c r="B201" s="69" t="str">
        <x:v>tiff/trace_net_engineering_answer_runner_overlay_context_pack_v1.py</x:v>
      </x:c>
      <x:c r="C201" s="69" t="str">
        <x:v>trace_net_engineering_answer_runner_overlay_context_pack_v1.py</x:v>
      </x:c>
      <x:c r="D201" s="69" t="str">
        <x:v>context</x:v>
      </x:c>
      <x:c r="E201" s="69" t="str"/>
      <x:c r="F201" s="69" t="str">
        <x:v>context</x:v>
      </x:c>
      <x:c r="G201" s="69" t="str">
        <x:v>src/trace_net/context/</x:v>
      </x:c>
      <x:c r="H201" s="69" t="str">
        <x:v>src/trace_net/context/trace_net_engineering_answer_runner_overlay_context_pack_v1.py</x:v>
      </x:c>
      <x:c r="I201" s="69" t="str">
        <x:v>active library module</x:v>
      </x:c>
      <x:c r="J201" s="69" t="str">
        <x:v>MOVE_WITH_IMPORT_UPDATES_AND_COMPATIBILITY_WRAPPER</x:v>
      </x:c>
      <x:c r="K201" s="70" t="b">
        <x:v>1</x:v>
      </x:c>
      <x:c r="L201" s="70" t="b">
        <x:v>0</x:v>
      </x:c>
      <x:c r="M201" s="70" t="b">
        <x:v>1</x:v>
      </x:c>
      <x:c r="N201" s="69" t="n">
        <x:v>3</x:v>
      </x:c>
      <x:c r="O201" s="69" t="n">
        <x:v>3</x:v>
      </x:c>
      <x:c r="P201" s="69" t="str">
        <x:v>scripts/build_trace_net_engineering_answer_runner_overlay_context_pack_v1.py; scripts/check_trace_net_engineering_answer_runner_overlay_context_pack_v1.py; tests/unit/test_trace_net_engineering_answer_runner_overlay_context_pack_v1.py; patches/trace_net_engram_overlay_steps_2_5_v1/APPLY_ME.py; patches/trace_net_engram_overlay_steps_2_5_v1/README.md; patches/trace_net_real_answer_overlay_qid_aligner_v1/APPLY_ME.py</x:v>
      </x:c>
      <x:c r="Q201" s="71" t="n">
        <x:v>0.95</x:v>
      </x:c>
      <x:c r="R201" s="69" t="str">
        <x:v>context/evidence naming</x:v>
      </x:c>
      <x:c r="S201" s="69" t="str">
        <x:v>Primary implementation belongs to the context stage based on filename, imports, and inventory evidence.</x:v>
      </x:c>
      <x:c r="T201" s="69" t="str">
        <x:v>Update imports and retain the old tiff module as a wrapper when callers exist.</x:v>
      </x:c>
      <x:c r="U201" s="69" t="str"/>
      <x:c r="V201" s="69" t="str">
        <x:v>TRACE_NET_ENGINEERING_ANSWER_RUNNER_OVERLAY_CONTEXT_PACK_BUILT, TRACE_NET_ENGINEERING_ANSWER_RUNNER_OVERLAY_CONTEXT_PACK_CHECKED</x:v>
      </x:c>
      <x:c r="W201" s="69" t="str"/>
      <x:c r="X201" s="72" t="n">
        <x:v>16988</x:v>
      </x:c>
      <x:c r="Y201" s="70" t="b">
        <x:v>1</x:v>
      </x:c>
      <x:c r="Z201" s="69" t="str">
        <x:v>Compatibility required</x:v>
      </x:c>
      <x:c r="AA201" s="69" t="str">
        <x:v>https://github.com/jwild2027/heico-ai-internship-summer-2026/blob/srv/tiff/trace_net_engineering_answer_runner_overlay_context_pack_v1.py</x:v>
      </x:c>
      <x:c r="AB201" s="69" t="str">
        <x:v>shared &lt;= string:contract, string:shared; ingestion &lt;= path:tiff; visual &lt;= string:visual; graph &lt;= string:graph; embeddings &lt;= string:qdrant; retrieval &lt;= string:opensearch, string:retriev</x:v>
      </x:c>
    </x:row>
    <x:row r="202">
      <x:c r="A202" s="68" t="n">
        <x:v>201</x:v>
      </x:c>
      <x:c r="B202" s="69" t="str">
        <x:v>tiff/trace_net_engineering_answer_runner_v1.py</x:v>
      </x:c>
      <x:c r="C202" s="69" t="str">
        <x:v>trace_net_engineering_answer_runner_v1.py</x:v>
      </x:c>
      <x:c r="D202" s="69" t="str">
        <x:v>context</x:v>
      </x:c>
      <x:c r="E202" s="69" t="str">
        <x:v>ingestion, benchmarks</x:v>
      </x:c>
      <x:c r="F202" s="69" t="str">
        <x:v>writing</x:v>
      </x:c>
      <x:c r="G202" s="69" t="str">
        <x:v>src/trace_net/writing/</x:v>
      </x:c>
      <x:c r="H202" s="69" t="str">
        <x:v>src/trace_net/writing/trace_net_engineering_answer_runner_v1.py</x:v>
      </x:c>
      <x:c r="I202" s="69" t="str">
        <x:v>active library module</x:v>
      </x:c>
      <x:c r="J202" s="69" t="str">
        <x:v>MOVE_WITH_IMPORT_UPDATES_AND_COMPATIBILITY_WRAPPER</x:v>
      </x:c>
      <x:c r="K202" s="70" t="b">
        <x:v>1</x:v>
      </x:c>
      <x:c r="L202" s="70" t="b">
        <x:v>0</x:v>
      </x:c>
      <x:c r="M202" s="70" t="b">
        <x:v>1</x:v>
      </x:c>
      <x:c r="N202" s="69" t="n">
        <x:v>4</x:v>
      </x:c>
      <x:c r="O202" s="69" t="n">
        <x:v>1</x:v>
      </x:c>
      <x:c r="P202" s="69" t="str">
        <x:v>scripts/build_trace_net_engineering_answer_runner_v1.py; scripts/check_trace_net_engineering_answer_runner_v1.py; tests/unit/test_trace_net_engineering_answer_runner_v1.py; tiff/trace_net_engineering_llm_answer_smoke_v1.py; scripts/fix_trace_net_engineering_stage_write_dirs_v1.py</x:v>
      </x:c>
      <x:c r="Q202" s="71" t="n">
        <x:v>0.95</x:v>
      </x:c>
      <x:c r="R202" s="69" t="str">
        <x:v>answer/writer naming</x:v>
      </x:c>
      <x:c r="S202" s="69" t="str">
        <x:v>Primary implementation belongs to the writing stage based on filename, imports, and inventory evidence.</x:v>
      </x:c>
      <x:c r="T202" s="69" t="str">
        <x:v>Update imports and retain the old tiff module as a wrapper when callers exist.</x:v>
      </x:c>
      <x:c r="U202" s="69" t="str"/>
      <x:c r="V202" s="69" t="str">
        <x:v>TRACE_NET_ENGINEERING_ANSWER_RUNNER_BUILT, TRACE_NET_ENGINEERING_ANSWER_RUNNER_QUALITY_CHECKED</x:v>
      </x:c>
      <x:c r="W202" s="69" t="str"/>
      <x:c r="X202" s="72" t="n">
        <x:v>22142</x:v>
      </x:c>
      <x:c r="Y202" s="70" t="b">
        <x:v>1</x:v>
      </x:c>
      <x:c r="Z202" s="69" t="str">
        <x:v>Compatibility required</x:v>
      </x:c>
      <x:c r="AA202" s="69" t="str">
        <x:v>https://github.com/jwild2027/heico-ai-internship-summer-2026/blob/srv/tiff/trace_net_engineering_answer_runner_v1.py</x:v>
      </x:c>
      <x:c r="AB202" s="69" t="str">
        <x:v>shared &lt;= string:contract; ingestion &lt;= path:tiff, import:tiff; ocr &lt;= string:ocr; visual &lt;= string:image_visual, string:llava, string:visual; tables &lt;= string:table; embeddings &lt;= string:qdrant</x:v>
      </x:c>
    </x:row>
    <x:row r="203">
      <x:c r="A203" s="68" t="n">
        <x:v>202</x:v>
      </x:c>
      <x:c r="B203" s="69" t="str">
        <x:v>tiff/trace_net_engineering_context_crag_retry_plan_v1.py</x:v>
      </x:c>
      <x:c r="C203" s="69" t="str">
        <x:v>trace_net_engineering_context_crag_retry_plan_v1.py</x:v>
      </x:c>
      <x:c r="D203" s="69" t="str">
        <x:v>validation</x:v>
      </x:c>
      <x:c r="E203" s="69" t="str">
        <x:v>benchmarks</x:v>
      </x:c>
      <x:c r="F203" s="69" t="str">
        <x:v>validation</x:v>
      </x:c>
      <x:c r="G203" s="69" t="str">
        <x:v>src/trace_net/validation/</x:v>
      </x:c>
      <x:c r="H203" s="69" t="str">
        <x:v>src/trace_net/validation/trace_net_engineering_context_crag_retry_plan_v1.py</x:v>
      </x:c>
      <x:c r="I203" s="69" t="str">
        <x:v>active library module</x:v>
      </x:c>
      <x:c r="J203" s="69" t="str">
        <x:v>MOVE_WITH_IMPORT_UPDATES_AND_COMPATIBILITY_WRAPPER</x:v>
      </x:c>
      <x:c r="K203" s="70" t="b">
        <x:v>1</x:v>
      </x:c>
      <x:c r="L203" s="70" t="b">
        <x:v>0</x:v>
      </x:c>
      <x:c r="M203" s="70" t="b">
        <x:v>1</x:v>
      </x:c>
      <x:c r="N203" s="69" t="n">
        <x:v>6</x:v>
      </x:c>
      <x:c r="O203" s="69" t="n">
        <x:v>1</x:v>
      </x:c>
      <x:c r="P203" s="69" t="str">
        <x:v>scripts/build_trace_net_engineering_context_crag_retry_plan_v1.py; scripts/check_trace_net_engineering_context_crag_retry_plan_v1_quality.py; tests/unit/test_trace_net_engineering_context_crag_retry_plan_v1.py; tests/unit/test_trace_net_engineering_context_crag_retry_plan_v1_quality.py; tiff/trace_net_webui_self_rag_crag_bridge_v1.py; tiff/trace_net_canonical_runtime_map_v1.py</x:v>
      </x:c>
      <x:c r="Q203" s="71" t="n">
        <x:v>0.95</x:v>
      </x:c>
      <x:c r="R203" s="69" t="str">
        <x:v>cross-cutting validation/reliability</x:v>
      </x:c>
      <x:c r="S203" s="69" t="str">
        <x:v>Primary implementation belongs to the validation stage based on filename, imports, and inventory evidence.</x:v>
      </x:c>
      <x:c r="T203" s="69" t="str">
        <x:v>Update imports and retain the old tiff module as a wrapper when callers exist.</x:v>
      </x:c>
      <x:c r="U203" s="69" t="str"/>
      <x:c r="V203" s="69" t="str"/>
      <x:c r="W203" s="69" t="str"/>
      <x:c r="X203" s="72" t="n">
        <x:v>26709</x:v>
      </x:c>
      <x:c r="Y203" s="70" t="b">
        <x:v>1</x:v>
      </x:c>
      <x:c r="Z203" s="69" t="str">
        <x:v>Compatibility required</x:v>
      </x:c>
      <x:c r="AA203" s="69" t="str">
        <x:v>https://github.com/jwild2027/heico-ai-internship-summer-2026/blob/srv/tiff/trace_net_engineering_context_crag_retry_plan_v1.py</x:v>
      </x:c>
      <x:c r="AB203" s="69" t="str">
        <x:v>shared &lt;= string:contract; ingestion &lt;= path:tiff; visual &lt;= string:callout, string:diagram, string:visual; embeddings &lt;= string:qdrant; retrieval &lt;= string:opensearch, string:retriev; context &lt;= string:context_pack</x:v>
      </x:c>
    </x:row>
    <x:row r="204">
      <x:c r="A204" s="68" t="n">
        <x:v>203</x:v>
      </x:c>
      <x:c r="B204" s="69" t="str">
        <x:v>tiff/trace_net_engineering_context_draft_packet_v1.py</x:v>
      </x:c>
      <x:c r="C204" s="69" t="str">
        <x:v>trace_net_engineering_context_draft_packet_v1.py</x:v>
      </x:c>
      <x:c r="D204" s="69" t="str">
        <x:v>ingestion</x:v>
      </x:c>
      <x:c r="E204" s="69" t="str">
        <x:v>shared, validation, benchmarks, context</x:v>
      </x:c>
      <x:c r="F204" s="69" t="str">
        <x:v>context</x:v>
      </x:c>
      <x:c r="G204" s="69" t="str">
        <x:v>src/trace_net/context/</x:v>
      </x:c>
      <x:c r="H204" s="69" t="str">
        <x:v>src/trace_net/context/trace_net_engineering_context_draft_packet_v1.py</x:v>
      </x:c>
      <x:c r="I204" s="69" t="str">
        <x:v>active library module</x:v>
      </x:c>
      <x:c r="J204" s="69" t="str">
        <x:v>MOVE_WITH_IMPORT_UPDATES_AND_COMPATIBILITY_WRAPPER</x:v>
      </x:c>
      <x:c r="K204" s="70" t="b">
        <x:v>1</x:v>
      </x:c>
      <x:c r="L204" s="70" t="b">
        <x:v>0</x:v>
      </x:c>
      <x:c r="M204" s="70" t="b">
        <x:v>1</x:v>
      </x:c>
      <x:c r="N204" s="69" t="n">
        <x:v>4</x:v>
      </x:c>
      <x:c r="O204" s="69" t="n">
        <x:v>0</x:v>
      </x:c>
      <x:c r="P204" s="69" t="str">
        <x:v>scripts/build_trace_net_engineering_context_draft_packet_v1.py; scripts/check_trace_net_engineering_context_draft_packet_v1_quality.py; tests/unit/test_trace_net_engineering_context_draft_packet_v1.py; tests/unit/test_trace_net_engineering_context_draft_packet_v1_quality.py</x:v>
      </x:c>
      <x:c r="Q204" s="71" t="n">
        <x:v>0.95</x:v>
      </x:c>
      <x:c r="R204" s="69" t="str">
        <x:v>context/evidence naming</x:v>
      </x:c>
      <x:c r="S204" s="69" t="str">
        <x:v>Primary implementation belongs to the context stage based on filename, imports, and inventory evidence.</x:v>
      </x:c>
      <x:c r="T204" s="69" t="str">
        <x:v>Update imports and retain the old tiff module as a wrapper when callers exist.</x:v>
      </x:c>
      <x:c r="U204" s="69" t="str"/>
      <x:c r="V204" s="69" t="str"/>
      <x:c r="W204" s="69" t="str"/>
      <x:c r="X204" s="72" t="n">
        <x:v>24359</x:v>
      </x:c>
      <x:c r="Y204" s="70" t="b">
        <x:v>1</x:v>
      </x:c>
      <x:c r="Z204" s="69" t="str">
        <x:v>Compatibility required</x:v>
      </x:c>
      <x:c r="AA204" s="69" t="str">
        <x:v>https://github.com/jwild2027/heico-ai-internship-summer-2026/blob/srv/tiff/trace_net_engineering_context_draft_packet_v1.py</x:v>
      </x:c>
      <x:c r="AB204" s="69" t="str">
        <x:v>shared &lt;= symbol:contract, string:contract, string:trust_tier; ingestion &lt;= path:tiff; visual &lt;= string:visual; tables &lt;= string:table; graph &lt;= string:graph, string:relationship; embeddings &lt;= string:qdrant</x:v>
      </x:c>
    </x:row>
    <x:row r="205">
      <x:c r="A205" s="68" t="n">
        <x:v>204</x:v>
      </x:c>
      <x:c r="B205" s="69" t="str">
        <x:v>tiff/trace_net_engineering_context_pack_blueprint_v1.py</x:v>
      </x:c>
      <x:c r="C205" s="69" t="str">
        <x:v>trace_net_engineering_context_pack_blueprint_v1.py</x:v>
      </x:c>
      <x:c r="D205" s="69" t="str">
        <x:v>context</x:v>
      </x:c>
      <x:c r="E205" s="69" t="str">
        <x:v>serving, validation, benchmarks, legacy</x:v>
      </x:c>
      <x:c r="F205" s="69" t="str">
        <x:v>context</x:v>
      </x:c>
      <x:c r="G205" s="69" t="str">
        <x:v>src/trace_net/context/</x:v>
      </x:c>
      <x:c r="H205" s="69" t="str">
        <x:v>src/trace_net/context/trace_net_engineering_context_pack_blueprint_v1.py</x:v>
      </x:c>
      <x:c r="I205" s="69" t="str">
        <x:v>active library module</x:v>
      </x:c>
      <x:c r="J205" s="69" t="str">
        <x:v>MOVE_WITH_IMPORT_UPDATES_AND_COMPATIBILITY_WRAPPER</x:v>
      </x:c>
      <x:c r="K205" s="70" t="b">
        <x:v>1</x:v>
      </x:c>
      <x:c r="L205" s="70" t="b">
        <x:v>0</x:v>
      </x:c>
      <x:c r="M205" s="70" t="b">
        <x:v>1</x:v>
      </x:c>
      <x:c r="N205" s="69" t="n">
        <x:v>7</x:v>
      </x:c>
      <x:c r="O205" s="69" t="n">
        <x:v>1</x:v>
      </x:c>
      <x:c r="P205" s="69" t="str">
        <x:v>scripts/build_trace_net_engineering_context_pack_blueprint_v1.py; scripts/check_trace_net_engineering_context_pack_blueprint_v1_quality.py; tests/unit/test_trace_net_engineering_context_pack_blueprint_v1.py; tests/unit/test_trace_net_engineering_context_pack_blueprint_v1_directory_safety.py; tests/unit/test_trace_net_engineering_context_pack_blueprint_v1_quality.py; tiff/trace_net_webui_self_rag_crag_bridge_v1.py; tiff/trace_net_canonical_runtime_map_v1.py</x:v>
      </x:c>
      <x:c r="Q205" s="71" t="n">
        <x:v>0.95</x:v>
      </x:c>
      <x:c r="R205" s="69" t="str">
        <x:v>context/evidence naming</x:v>
      </x:c>
      <x:c r="S205" s="69" t="str">
        <x:v>Primary implementation belongs to the context stage based on filename, imports, and inventory evidence.</x:v>
      </x:c>
      <x:c r="T205" s="69" t="str">
        <x:v>Update imports and retain the old tiff module as a wrapper when callers exist.</x:v>
      </x:c>
      <x:c r="U205" s="69" t="str"/>
      <x:c r="V205" s="69" t="str"/>
      <x:c r="W205" s="69" t="str"/>
      <x:c r="X205" s="72" t="n">
        <x:v>25179</x:v>
      </x:c>
      <x:c r="Y205" s="70" t="b">
        <x:v>1</x:v>
      </x:c>
      <x:c r="Z205" s="69" t="str">
        <x:v>Compatibility required</x:v>
      </x:c>
      <x:c r="AA205" s="69" t="str">
        <x:v>https://github.com/jwild2027/heico-ai-internship-summer-2026/blob/srv/tiff/trace_net_engineering_context_pack_blueprint_v1.py</x:v>
      </x:c>
      <x:c r="AB205" s="69" t="str">
        <x:v>shared &lt;= symbol:contract, string:contract, string:trust_tier; ingestion &lt;= path:tiff; visual &lt;= string:callout, string:visual; tables &lt;= string:table; embeddings &lt;= string:qdrant; retrieval &lt;= string:opensearch, string:retriev</x:v>
      </x:c>
    </x:row>
    <x:row r="206">
      <x:c r="A206" s="68" t="n">
        <x:v>205</x:v>
      </x:c>
      <x:c r="B206" s="69" t="str">
        <x:v>tiff/trace_net_engineering_context_pack_builder_v1.py</x:v>
      </x:c>
      <x:c r="C206" s="69" t="str">
        <x:v>trace_net_engineering_context_pack_builder_v1.py</x:v>
      </x:c>
      <x:c r="D206" s="69" t="str">
        <x:v>context</x:v>
      </x:c>
      <x:c r="E206" s="69" t="str">
        <x:v>validation, shared</x:v>
      </x:c>
      <x:c r="F206" s="69" t="str">
        <x:v>context</x:v>
      </x:c>
      <x:c r="G206" s="69" t="str">
        <x:v>src/trace_net/context/</x:v>
      </x:c>
      <x:c r="H206" s="69" t="str">
        <x:v>src/trace_net/context/trace_net_engineering_context_pack_builder_v1.py</x:v>
      </x:c>
      <x:c r="I206" s="69" t="str">
        <x:v>artifact builder implementation</x:v>
      </x:c>
      <x:c r="J206" s="69" t="str">
        <x:v>MOVE_WITH_IMPORT_UPDATES_AND_COMPATIBILITY_WRAPPER</x:v>
      </x:c>
      <x:c r="K206" s="70" t="b">
        <x:v>1</x:v>
      </x:c>
      <x:c r="L206" s="70" t="b">
        <x:v>0</x:v>
      </x:c>
      <x:c r="M206" s="70" t="b">
        <x:v>1</x:v>
      </x:c>
      <x:c r="N206" s="69" t="n">
        <x:v>6</x:v>
      </x:c>
      <x:c r="O206" s="69" t="n">
        <x:v>1</x:v>
      </x:c>
      <x:c r="P206" s="69" t="str">
        <x:v>scripts/build_trace_net_engineering_context_pack_builder_v1.py; scripts/check_trace_net_engineering_context_pack_builder_v1_quality.py; tests/unit/test_trace_net_engineering_context_pack_builder_v1.py; tests/unit/test_trace_net_engineering_context_pack_builder_v1_quality.py; tiff/trace_net_webui_self_rag_crag_bridge_v1.py; tiff/trace_net_canonical_runtime_map_v1.py</x:v>
      </x:c>
      <x:c r="Q206" s="71" t="n">
        <x:v>0.96</x:v>
      </x:c>
      <x:c r="R206" s="69" t="str">
        <x:v>context/evidence naming</x:v>
      </x:c>
      <x:c r="S206" s="69" t="str">
        <x:v>Build implementation is imported by active wrappers/tests and belongs to the context package.</x:v>
      </x:c>
      <x:c r="T206" s="69" t="str">
        <x:v>Update wrapper imports and compare generated artifact counts/checksums.</x:v>
      </x:c>
      <x:c r="U206" s="69" t="str"/>
      <x:c r="V206" s="69" t="str"/>
      <x:c r="W206" s="69" t="str"/>
      <x:c r="X206" s="72" t="n">
        <x:v>37778</x:v>
      </x:c>
      <x:c r="Y206" s="70" t="b">
        <x:v>1</x:v>
      </x:c>
      <x:c r="Z206" s="69" t="str">
        <x:v>Compatibility required</x:v>
      </x:c>
      <x:c r="AA206" s="69" t="str">
        <x:v>https://github.com/jwild2027/heico-ai-internship-summer-2026/blob/srv/tiff/trace_net_engineering_context_pack_builder_v1.py</x:v>
      </x:c>
      <x:c r="AB206" s="69" t="str">
        <x:v>shared &lt;= symbol:trust_tier, string:contract, string:schema, string:trust_tier; ingestion &lt;= path:tiff; ocr &lt;= string:fishnet, string:ocr; visual &lt;= string:callout, string:image_visual, string:visual; tables &lt;= string:table; graph &lt;= string:community, string:graph, string:relationship</x:v>
      </x:c>
    </x:row>
    <x:row r="207">
      <x:c r="A207" s="68" t="n">
        <x:v>206</x:v>
      </x:c>
      <x:c r="B207" s="69" t="str">
        <x:v>tiff/trace_net_engineering_context_self_rag_check_v1.py</x:v>
      </x:c>
      <x:c r="C207" s="69" t="str">
        <x:v>trace_net_engineering_context_self_rag_check_v1.py</x:v>
      </x:c>
      <x:c r="D207" s="69" t="str">
        <x:v>validation</x:v>
      </x:c>
      <x:c r="E207" s="69" t="str"/>
      <x:c r="F207" s="69" t="str">
        <x:v>validation</x:v>
      </x:c>
      <x:c r="G207" s="69" t="str">
        <x:v>src/trace_net/validation/</x:v>
      </x:c>
      <x:c r="H207" s="69" t="str">
        <x:v>src/trace_net/validation/trace_net_engineering_context_self_rag_check_v1.py</x:v>
      </x:c>
      <x:c r="I207" s="69" t="str">
        <x:v>verification implementation module</x:v>
      </x:c>
      <x:c r="J207" s="69" t="str">
        <x:v>MOVE_WITH_IMPORT_UPDATES_AND_COMPATIBILITY_WRAPPER</x:v>
      </x:c>
      <x:c r="K207" s="70" t="b">
        <x:v>1</x:v>
      </x:c>
      <x:c r="L207" s="70" t="b">
        <x:v>0</x:v>
      </x:c>
      <x:c r="M207" s="70" t="b">
        <x:v>1</x:v>
      </x:c>
      <x:c r="N207" s="69" t="n">
        <x:v>6</x:v>
      </x:c>
      <x:c r="O207" s="69" t="n">
        <x:v>1</x:v>
      </x:c>
      <x:c r="P207" s="69" t="str">
        <x:v>scripts/build_trace_net_engineering_context_self_rag_check_v1.py; scripts/check_trace_net_engineering_context_self_rag_check_v1_quality.py; tests/unit/test_trace_net_engineering_context_self_rag_check_v1.py; tests/unit/test_trace_net_engineering_context_self_rag_check_v1_quality.py; tiff/trace_net_webui_self_rag_crag_bridge_v1.py; tiff/trace_net_canonical_runtime_map_v1.py</x:v>
      </x:c>
      <x:c r="Q207" s="71" t="n">
        <x:v>0.96</x:v>
      </x:c>
      <x:c r="R207" s="69" t="str">
        <x:v>cross-cutting validation/reliability</x:v>
      </x:c>
      <x:c r="S207" s="69" t="str">
        <x:v>Check implementation is imported by active scripts/tests and belongs with validation code.</x:v>
      </x:c>
      <x:c r="T207" s="69" t="str">
        <x:v>Update check wrapper imports and preserve old tiff path until the check passes.</x:v>
      </x:c>
      <x:c r="U207" s="69" t="str"/>
      <x:c r="V207" s="69" t="str"/>
      <x:c r="W207" s="69" t="str"/>
      <x:c r="X207" s="72" t="n">
        <x:v>25414</x:v>
      </x:c>
      <x:c r="Y207" s="70" t="b">
        <x:v>1</x:v>
      </x:c>
      <x:c r="Z207" s="69" t="str">
        <x:v>Compatibility required</x:v>
      </x:c>
      <x:c r="AA207" s="69" t="str">
        <x:v>https://github.com/jwild2027/heico-ai-internship-summer-2026/blob/srv/tiff/trace_net_engineering_context_self_rag_check_v1.py</x:v>
      </x:c>
      <x:c r="AB207" s="69" t="str">
        <x:v>shared &lt;= string:contract, string:trust_tier; ingestion &lt;= path:tiff; visual &lt;= string:visual; tables &lt;= string:table; graph &lt;= string:relationship; embeddings &lt;= string:qdrant</x:v>
      </x:c>
    </x:row>
    <x:row r="208">
      <x:c r="A208" s="68" t="n">
        <x:v>207</x:v>
      </x:c>
      <x:c r="B208" s="69" t="str">
        <x:v>tiff/trace_net_engineering_draft_final_gate_v1.py</x:v>
      </x:c>
      <x:c r="C208" s="69" t="str">
        <x:v>trace_net_engineering_draft_final_gate_v1.py</x:v>
      </x:c>
      <x:c r="D208" s="69" t="str">
        <x:v>benchmarks</x:v>
      </x:c>
      <x:c r="E208" s="69" t="str">
        <x:v>ingestion</x:v>
      </x:c>
      <x:c r="F208" s="69" t="str">
        <x:v>validation</x:v>
      </x:c>
      <x:c r="G208" s="69" t="str">
        <x:v>src/trace_net/validation/</x:v>
      </x:c>
      <x:c r="H208" s="69" t="str">
        <x:v>src/trace_net/validation/trace_net_engineering_draft_final_gate_v1.py</x:v>
      </x:c>
      <x:c r="I208" s="69" t="str">
        <x:v>runtime validation/gating module</x:v>
      </x:c>
      <x:c r="J208" s="69" t="str">
        <x:v>MOVE_WITH_IMPORT_UPDATES_AND_COMPATIBILITY_WRAPPER</x:v>
      </x:c>
      <x:c r="K208" s="70" t="b">
        <x:v>1</x:v>
      </x:c>
      <x:c r="L208" s="70" t="b">
        <x:v>0</x:v>
      </x:c>
      <x:c r="M208" s="70" t="b">
        <x:v>1</x:v>
      </x:c>
      <x:c r="N208" s="69" t="n">
        <x:v>4</x:v>
      </x:c>
      <x:c r="O208" s="69" t="n">
        <x:v>0</x:v>
      </x:c>
      <x:c r="P208" s="69" t="str">
        <x:v>scripts/build_trace_net_engineering_draft_final_gate_v1.py; scripts/check_trace_net_engineering_draft_final_gate_v1_quality.py; tests/unit/test_trace_net_engineering_draft_final_gate_v1.py; tests/unit/test_trace_net_engineering_draft_final_gate_v1_quality.py</x:v>
      </x:c>
      <x:c r="Q208" s="71" t="n">
        <x:v>0.96</x:v>
      </x:c>
      <x:c r="R208" s="69" t="str">
        <x:v>validation/quality naming</x:v>
      </x:c>
      <x:c r="S208" s="69" t="str">
        <x:v>Implements a runtime gate, critic, hardener, or evidence sufficiency check.</x:v>
      </x:c>
      <x:c r="T208" s="69" t="str">
        <x:v>Preserve gating semantics and old import path until focused tests pass.</x:v>
      </x:c>
      <x:c r="U208" s="69" t="str"/>
      <x:c r="V208" s="69" t="str"/>
      <x:c r="W208" s="69" t="str"/>
      <x:c r="X208" s="72" t="n">
        <x:v>26590</x:v>
      </x:c>
      <x:c r="Y208" s="70" t="b">
        <x:v>1</x:v>
      </x:c>
      <x:c r="Z208" s="69" t="str">
        <x:v>Compatibility required</x:v>
      </x:c>
      <x:c r="AA208" s="69" t="str">
        <x:v>https://github.com/jwild2027/heico-ai-internship-summer-2026/blob/srv/tiff/trace_net_engineering_draft_final_gate_v1.py</x:v>
      </x:c>
      <x:c r="AB208" s="69" t="str">
        <x:v>shared &lt;= string:contract; ingestion &lt;= path:tiff; embeddings &lt;= string:qdrant; retrieval &lt;= string:opensearch, string:retriev; llm_writing &lt;= string:final_answer, string:gemma; serving &lt;= string:sse</x:v>
      </x:c>
    </x:row>
    <x:row r="209">
      <x:c r="A209" s="68" t="n">
        <x:v>208</x:v>
      </x:c>
      <x:c r="B209" s="69" t="str">
        <x:v>tiff/trace_net_engineering_engram_answer_runner_overlay_llm_smoke_complete_v1.py</x:v>
      </x:c>
      <x:c r="C209" s="69" t="str">
        <x:v>trace_net_engineering_engram_answer_runner_overlay_llm_smoke_complete_v1.py</x:v>
      </x:c>
      <x:c r="D209" s="69" t="str">
        <x:v>benchmarks</x:v>
      </x:c>
      <x:c r="E209" s="69" t="str">
        <x:v>brain_engram, ingestion</x:v>
      </x:c>
      <x:c r="F209" s="69" t="str">
        <x:v>engram</x:v>
      </x:c>
      <x:c r="G209" s="69" t="str">
        <x:v>src/trace_net/engram/</x:v>
      </x:c>
      <x:c r="H209" s="69" t="str">
        <x:v>src/trace_net/engram/trace_net_engineering_engram_answer_runner_overlay_llm_smoke_complete_v1.py</x:v>
      </x:c>
      <x:c r="I209" s="69" t="str">
        <x:v>active library module</x:v>
      </x:c>
      <x:c r="J209" s="69" t="str">
        <x:v>MOVE_WITH_IMPORT_UPDATES_AND_COMPATIBILITY_WRAPPER</x:v>
      </x:c>
      <x:c r="K209" s="70" t="b">
        <x:v>1</x:v>
      </x:c>
      <x:c r="L209" s="70" t="b">
        <x:v>0</x:v>
      </x:c>
      <x:c r="M209" s="70" t="b">
        <x:v>1</x:v>
      </x:c>
      <x:c r="N209" s="69" t="n">
        <x:v>2</x:v>
      </x:c>
      <x:c r="O209" s="69" t="n">
        <x:v>2</x:v>
      </x:c>
      <x:c r="P209" s="69" t="str">
        <x:v>scripts/check_trace_net_engineering_engram_answer_runner_overlay_llm_smoke_complete_v1.py; tests/unit/test_trace_net_engineering_engram_answer_runner_overlay_llm_smoke_complete_v1.py; patches/trace_net_engram_overlay_steps_2_5_v1/APPLY_ME.py; patches/trace_net_engram_overlay_steps_2_5_v1/README.md</x:v>
      </x:c>
      <x:c r="Q209" s="71" t="n">
        <x:v>0.95</x:v>
      </x:c>
      <x:c r="R209" s="69" t="str">
        <x:v>engram/memory naming</x:v>
      </x:c>
      <x:c r="S209" s="69" t="str">
        <x:v>Primary implementation belongs to the engram stage based on filename, imports, and inventory evidence.</x:v>
      </x:c>
      <x:c r="T209" s="69" t="str">
        <x:v>Update imports and retain the old tiff module as a wrapper when callers exist.</x:v>
      </x:c>
      <x:c r="U209" s="69" t="str"/>
      <x:c r="V209" s="69" t="str">
        <x:v>TRACE_NET_ENGINEERING_ENGRAM_OVERLAY_LLM_SMOKE_COMPLETENESS_CHECKED</x:v>
      </x:c>
      <x:c r="W209" s="69" t="str"/>
      <x:c r="X209" s="72" t="n">
        <x:v>5968</x:v>
      </x:c>
      <x:c r="Y209" s="70" t="b">
        <x:v>1</x:v>
      </x:c>
      <x:c r="Z209" s="69" t="str">
        <x:v>Compatibility required</x:v>
      </x:c>
      <x:c r="AA209" s="69" t="str">
        <x:v>https://github.com/jwild2027/heico-ai-internship-summer-2026/blob/srv/tiff/trace_net_engineering_engram_answer_runner_overlay_llm_smoke_complete_v1.py</x:v>
      </x:c>
      <x:c r="AB209" s="69" t="str">
        <x:v>ingestion &lt;= path:tiff; brain_engram &lt;= path:engram, string:engram, environment:engram; context &lt;= string:proof_context, string:source_trace; llm_writing &lt;= string:llm_answer; benchmarks &lt;= path:smoke, symbol:smoke, string:smoke, environment:smoke; referenced_by_count=2</x:v>
      </x:c>
    </x:row>
    <x:row r="210">
      <x:c r="A210" s="68" t="n">
        <x:v>209</x:v>
      </x:c>
      <x:c r="B210" s="69" t="str">
        <x:v>tiff/trace_net_engineering_engram_answer_runner_overlay_llm_smoke_v1.py</x:v>
      </x:c>
      <x:c r="C210" s="69" t="str">
        <x:v>trace_net_engineering_engram_answer_runner_overlay_llm_smoke_v1.py</x:v>
      </x:c>
      <x:c r="D210" s="69" t="str">
        <x:v>benchmarks</x:v>
      </x:c>
      <x:c r="E210" s="69" t="str">
        <x:v>brain_engram, serving</x:v>
      </x:c>
      <x:c r="F210" s="69" t="str">
        <x:v>engram</x:v>
      </x:c>
      <x:c r="G210" s="69" t="str">
        <x:v>src/trace_net/engram/</x:v>
      </x:c>
      <x:c r="H210" s="69" t="str">
        <x:v>src/trace_net/engram/trace_net_engineering_engram_answer_runner_overlay_llm_smoke_v1.py</x:v>
      </x:c>
      <x:c r="I210" s="69" t="str">
        <x:v>active library module</x:v>
      </x:c>
      <x:c r="J210" s="69" t="str">
        <x:v>MOVE_WITH_PROTECTED_COMPATIBILITY_WRAPPER</x:v>
      </x:c>
      <x:c r="K210" s="70" t="b">
        <x:v>1</x:v>
      </x:c>
      <x:c r="L210" s="70" t="b">
        <x:v>1</x:v>
      </x:c>
      <x:c r="M210" s="70" t="b">
        <x:v>1</x:v>
      </x:c>
      <x:c r="N210" s="69" t="n">
        <x:v>3</x:v>
      </x:c>
      <x:c r="O210" s="69" t="n">
        <x:v>2</x:v>
      </x:c>
      <x:c r="P210" s="69" t="str">
        <x:v>scripts/build_trace_net_engineering_engram_answer_runner_overlay_llm_smoke_v1.py; scripts/check_trace_net_engineering_engram_answer_runner_overlay_llm_smoke_v1.py; tests/unit/test_trace_net_engineering_engram_answer_runner_overlay_llm_smoke_v1.py; patches/trace_net_engram_overlay_steps_2_5_v1/APPLY_ME.py; tiff/trace_net_canonical_runtime_map_v1.py</x:v>
      </x:c>
      <x:c r="Q210" s="71" t="n">
        <x:v>0.95</x:v>
      </x:c>
      <x:c r="R210" s="69" t="str">
        <x:v>engram/memory naming</x:v>
      </x:c>
      <x:c r="S210" s="69" t="str">
        <x:v>Primary implementation belongs to the engram stage based on filename, imports, and inventory evidence.</x:v>
      </x:c>
      <x:c r="T210" s="69" t="str">
        <x:v>Update imports and retain the old tiff module as a wrapper when callers exist.</x:v>
      </x:c>
      <x:c r="U210" s="69" t="str">
        <x:v>11434</x:v>
      </x:c>
      <x:c r="V210" s="69" t="str">
        <x:v>TRACE_NET_ENGINEERING_ENGRAM_ANSWER_RUNNER_OVERLAY_LLM_SMOKE_BUILT, TRACE_NET_ENGINEERING_ENGRAM_ANSWER_RUNNER_OVERLAY_LLM_SMOKE_CHECKED</x:v>
      </x:c>
      <x:c r="W210" s="69" t="str"/>
      <x:c r="X210" s="72" t="n">
        <x:v>31463</x:v>
      </x:c>
      <x:c r="Y210" s="70" t="b">
        <x:v>1</x:v>
      </x:c>
      <x:c r="Z210" s="69" t="str">
        <x:v>Protected runtime</x:v>
      </x:c>
      <x:c r="AA210" s="69" t="str">
        <x:v>https://github.com/jwild2027/heico-ai-internship-summer-2026/blob/srv/tiff/trace_net_engineering_engram_answer_runner_overlay_llm_smoke_v1.py</x:v>
      </x:c>
      <x:c r="AB210" s="69" t="str">
        <x:v>shared &lt;= string:contract, string:shared; ingestion &lt;= path:tiff; visual &lt;= string:visual; graph &lt;= string:graph; embeddings &lt;= string:qdrant; retrieval &lt;= string:opensearch, string:retriev</x:v>
      </x:c>
    </x:row>
    <x:row r="211">
      <x:c r="A211" s="68" t="n">
        <x:v>210</x:v>
      </x:c>
      <x:c r="B211" s="69" t="str">
        <x:v>tiff/trace_net_engineering_engram_answer_runner_prompt_overlay_smoke_v1.py</x:v>
      </x:c>
      <x:c r="C211" s="69" t="str">
        <x:v>trace_net_engineering_engram_answer_runner_prompt_overlay_smoke_v1.py</x:v>
      </x:c>
      <x:c r="D211" s="69" t="str">
        <x:v>benchmarks</x:v>
      </x:c>
      <x:c r="E211" s="69" t="str">
        <x:v>brain_engram</x:v>
      </x:c>
      <x:c r="F211" s="69" t="str">
        <x:v>engram</x:v>
      </x:c>
      <x:c r="G211" s="69" t="str">
        <x:v>src/trace_net/engram/</x:v>
      </x:c>
      <x:c r="H211" s="69" t="str">
        <x:v>src/trace_net/engram/trace_net_engineering_engram_answer_runner_prompt_overlay_smoke_v1.py</x:v>
      </x:c>
      <x:c r="I211" s="69" t="str">
        <x:v>active library module</x:v>
      </x:c>
      <x:c r="J211" s="69" t="str">
        <x:v>MOVE_WITH_IMPORT_UPDATES_AND_COMPATIBILITY_WRAPPER</x:v>
      </x:c>
      <x:c r="K211" s="70" t="b">
        <x:v>1</x:v>
      </x:c>
      <x:c r="L211" s="70" t="b">
        <x:v>0</x:v>
      </x:c>
      <x:c r="M211" s="70" t="b">
        <x:v>1</x:v>
      </x:c>
      <x:c r="N211" s="69" t="n">
        <x:v>3</x:v>
      </x:c>
      <x:c r="O211" s="69" t="n">
        <x:v>0</x:v>
      </x:c>
      <x:c r="P211" s="69" t="str">
        <x:v>scripts/build_trace_net_engineering_engram_answer_runner_prompt_overlay_smoke_v1.py; scripts/check_trace_net_engineering_engram_answer_runner_prompt_overlay_smoke_v1.py; tests/unit/test_trace_net_engineering_engram_answer_runner_prompt_overlay_smoke_v1.py</x:v>
      </x:c>
      <x:c r="Q211" s="71" t="n">
        <x:v>0.95</x:v>
      </x:c>
      <x:c r="R211" s="69" t="str">
        <x:v>engram/memory naming</x:v>
      </x:c>
      <x:c r="S211" s="69" t="str">
        <x:v>Primary implementation belongs to the engram stage based on filename, imports, and inventory evidence.</x:v>
      </x:c>
      <x:c r="T211" s="69" t="str">
        <x:v>Update imports and retain the old tiff module as a wrapper when callers exist.</x:v>
      </x:c>
      <x:c r="U211" s="69" t="str"/>
      <x:c r="V211" s="69" t="str">
        <x:v>TRACE_NET_ENGINEERING_ENGRAM_ANSWER_RUNNER_PROMPT_OVERLAY_SMOKE_BUILT, TRACE_NET_ENGINEERING_ENGRAM_ANSWER_RUNNER_PROMPT_OVERLAY_SMOKE_CHECKED</x:v>
      </x:c>
      <x:c r="W211" s="69" t="str"/>
      <x:c r="X211" s="72" t="n">
        <x:v>19974</x:v>
      </x:c>
      <x:c r="Y211" s="70" t="b">
        <x:v>1</x:v>
      </x:c>
      <x:c r="Z211" s="69" t="str">
        <x:v>Compatibility required</x:v>
      </x:c>
      <x:c r="AA211" s="69" t="str">
        <x:v>https://github.com/jwild2027/heico-ai-internship-summer-2026/blob/srv/tiff/trace_net_engineering_engram_answer_runner_prompt_overlay_smoke_v1.py</x:v>
      </x:c>
      <x:c r="AB211" s="69" t="str">
        <x:v>shared &lt;= string:contract; ingestion &lt;= path:tiff; tables &lt;= string:ipl; embeddings &lt;= string:qdrant; retrieval &lt;= string:opensearch, string:retriev; brain_engram &lt;= path:engram, string:engram, string:memory_layer, environment:engram</x:v>
      </x:c>
    </x:row>
    <x:row r="212">
      <x:c r="A212" s="68" t="n">
        <x:v>211</x:v>
      </x:c>
      <x:c r="B212" s="69" t="str">
        <x:v>tiff/trace_net_engineering_engram_answer_runner_retrieval_bridge_v1.py</x:v>
      </x:c>
      <x:c r="C212" s="69" t="str">
        <x:v>trace_net_engineering_engram_answer_runner_retrieval_bridge_v1.py</x:v>
      </x:c>
      <x:c r="D212" s="69" t="str">
        <x:v>benchmarks</x:v>
      </x:c>
      <x:c r="E212" s="69" t="str">
        <x:v>retrieval, serving, brain_engram</x:v>
      </x:c>
      <x:c r="F212" s="69" t="str">
        <x:v>engram</x:v>
      </x:c>
      <x:c r="G212" s="69" t="str">
        <x:v>src/trace_net/engram/</x:v>
      </x:c>
      <x:c r="H212" s="69" t="str">
        <x:v>src/trace_net/engram/trace_net_engineering_engram_answer_runner_retrieval_bridge_v1.py</x:v>
      </x:c>
      <x:c r="I212" s="69" t="str">
        <x:v>integration bridge module</x:v>
      </x:c>
      <x:c r="J212" s="69" t="str">
        <x:v>MOVE_WITH_IMPORT_UPDATES_AND_COMPATIBILITY_WRAPPER</x:v>
      </x:c>
      <x:c r="K212" s="70" t="b">
        <x:v>1</x:v>
      </x:c>
      <x:c r="L212" s="70" t="b">
        <x:v>0</x:v>
      </x:c>
      <x:c r="M212" s="70" t="b">
        <x:v>1</x:v>
      </x:c>
      <x:c r="N212" s="69" t="n">
        <x:v>3</x:v>
      </x:c>
      <x:c r="O212" s="69" t="n">
        <x:v>3</x:v>
      </x:c>
      <x:c r="P212" s="69" t="str">
        <x:v>scripts/build_trace_net_engineering_engram_answer_runner_retrieval_bridge_v1.py; scripts/check_trace_net_engineering_engram_answer_runner_retrieval_bridge_v1.py; tests/unit/test_trace_net_engineering_engram_answer_runner_retrieval_bridge_v1.py; docs/trace_net_canonical_runtime_map_v1_README.md; tests/unit/test_trace_net_canonical_runtime_map_v1.py; tiff/trace_net_canonical_runtime_map_v1.py</x:v>
      </x:c>
      <x:c r="Q212" s="71" t="n">
        <x:v>0.95</x:v>
      </x:c>
      <x:c r="R212" s="69" t="str">
        <x:v>engram/memory naming</x:v>
      </x:c>
      <x:c r="S212" s="69" t="str">
        <x:v>Bridge connects the engram stage to another TRACE-Net component.</x:v>
      </x:c>
      <x:c r="T212" s="69" t="str">
        <x:v>Update both producer and consumer imports; keep old bridge module as wrapper.</x:v>
      </x:c>
      <x:c r="U212" s="69" t="str"/>
      <x:c r="V212" s="69" t="str">
        <x:v>TRACE_NET_ENGINEERING_ENGRAM_ANSWER_RUNNER_RETRIEVAL_BRIDGE_BUILT, TRACE_NET_ENGINEERING_ENGRAM_ANSWER_RUNNER_RETRIEVAL_BRIDGE_CHECKED</x:v>
      </x:c>
      <x:c r="W212" s="69" t="str"/>
      <x:c r="X212" s="72" t="n">
        <x:v>18580</x:v>
      </x:c>
      <x:c r="Y212" s="70" t="b">
        <x:v>1</x:v>
      </x:c>
      <x:c r="Z212" s="69" t="str">
        <x:v>Compatibility required</x:v>
      </x:c>
      <x:c r="AA212" s="69" t="str">
        <x:v>https://github.com/jwild2027/heico-ai-internship-summer-2026/blob/srv/tiff/trace_net_engineering_engram_answer_runner_retrieval_bridge_v1.py</x:v>
      </x:c>
      <x:c r="AB212" s="69" t="str">
        <x:v>shared &lt;= string:contract; ingestion &lt;= path:tiff; embeddings &lt;= string:qdrant; retrieval &lt;= path:retriev, symbol:retriev, string:opensearch, string:retriev, environment:retriev; brain_engram &lt;= path:engram, string:engram, string:memory_layer, environment:engram; context &lt;= string:proof_context</x:v>
      </x:c>
    </x:row>
    <x:row r="213">
      <x:c r="A213" s="68" t="n">
        <x:v>212</x:v>
      </x:c>
      <x:c r="B213" s="69" t="str">
        <x:v>tiff/trace_net_engineering_engram_answer_smoke_overlay_integration_gate_v1.py</x:v>
      </x:c>
      <x:c r="C213" s="69" t="str">
        <x:v>trace_net_engineering_engram_answer_smoke_overlay_integration_gate_v1.py</x:v>
      </x:c>
      <x:c r="D213" s="69" t="str">
        <x:v>benchmarks</x:v>
      </x:c>
      <x:c r="E213" s="69" t="str">
        <x:v>brain_engram, ingestion</x:v>
      </x:c>
      <x:c r="F213" s="69" t="str">
        <x:v>engram</x:v>
      </x:c>
      <x:c r="G213" s="69" t="str">
        <x:v>src/trace_net/engram/</x:v>
      </x:c>
      <x:c r="H213" s="69" t="str">
        <x:v>src/trace_net/engram/trace_net_engineering_engram_answer_smoke_overlay_integration_gate_v1.py</x:v>
      </x:c>
      <x:c r="I213" s="69" t="str">
        <x:v>active library module</x:v>
      </x:c>
      <x:c r="J213" s="69" t="str">
        <x:v>MOVE_WITH_IMPORT_UPDATES_AND_COMPATIBILITY_WRAPPER</x:v>
      </x:c>
      <x:c r="K213" s="70" t="b">
        <x:v>1</x:v>
      </x:c>
      <x:c r="L213" s="70" t="b">
        <x:v>0</x:v>
      </x:c>
      <x:c r="M213" s="70" t="b">
        <x:v>1</x:v>
      </x:c>
      <x:c r="N213" s="69" t="n">
        <x:v>3</x:v>
      </x:c>
      <x:c r="O213" s="69" t="n">
        <x:v>0</x:v>
      </x:c>
      <x:c r="P213" s="69" t="str">
        <x:v>scripts/build_trace_net_engineering_engram_answer_smoke_overlay_integration_gate_v1.py; scripts/check_trace_net_engineering_engram_answer_smoke_overlay_integration_gate_v1.py; tests/unit/test_trace_net_engineering_engram_answer_smoke_overlay_integration_gate_v1.py</x:v>
      </x:c>
      <x:c r="Q213" s="71" t="n">
        <x:v>0.95</x:v>
      </x:c>
      <x:c r="R213" s="69" t="str">
        <x:v>engram/memory naming</x:v>
      </x:c>
      <x:c r="S213" s="69" t="str">
        <x:v>Primary implementation belongs to the engram stage based on filename, imports, and inventory evidence.</x:v>
      </x:c>
      <x:c r="T213" s="69" t="str">
        <x:v>Update imports and retain the old tiff module as a wrapper when callers exist.</x:v>
      </x:c>
      <x:c r="U213" s="69" t="str"/>
      <x:c r="V213" s="69" t="str">
        <x:v>TRACE_NET_ENGINEERING_ENGRAM_ANSWER_SMOKE_OVERLAY_INTEGRATION_GATE_BUILT, TRACE_NET_ENGINEERING_ENGRAM_ANSWER_SMOKE_OVERLAY_INTEGRATION_GATE_CHECKED</x:v>
      </x:c>
      <x:c r="W213" s="69" t="str"/>
      <x:c r="X213" s="72" t="n">
        <x:v>18496</x:v>
      </x:c>
      <x:c r="Y213" s="70" t="b">
        <x:v>1</x:v>
      </x:c>
      <x:c r="Z213" s="69" t="str">
        <x:v>Compatibility required</x:v>
      </x:c>
      <x:c r="AA213" s="69" t="str">
        <x:v>https://github.com/jwild2027/heico-ai-internship-summer-2026/blob/srv/tiff/trace_net_engineering_engram_answer_smoke_overlay_integration_gate_v1.py</x:v>
      </x:c>
      <x:c r="AB213" s="69" t="str">
        <x:v>shared &lt;= string:contract; ingestion &lt;= path:tiff; embeddings &lt;= string:qdrant; retrieval &lt;= string:opensearch, string:retriev; brain_engram &lt;= path:engram, string:engram, environment:engram; context &lt;= string:proof_context</x:v>
      </x:c>
    </x:row>
    <x:row r="214">
      <x:c r="A214" s="68" t="n">
        <x:v>213</x:v>
      </x:c>
      <x:c r="B214" s="69" t="str">
        <x:v>tiff/trace_net_engineering_engram_core_v1.py</x:v>
      </x:c>
      <x:c r="C214" s="69" t="str">
        <x:v>trace_net_engineering_engram_core_v1.py</x:v>
      </x:c>
      <x:c r="D214" s="69" t="str">
        <x:v>brain_engram</x:v>
      </x:c>
      <x:c r="E214" s="69" t="str">
        <x:v>benchmarks, operations</x:v>
      </x:c>
      <x:c r="F214" s="69" t="str">
        <x:v>engram</x:v>
      </x:c>
      <x:c r="G214" s="69" t="str">
        <x:v>src/trace_net/engram/</x:v>
      </x:c>
      <x:c r="H214" s="69" t="str">
        <x:v>src/trace_net/engram/trace_net_engineering_engram_core_v1.py</x:v>
      </x:c>
      <x:c r="I214" s="69" t="str">
        <x:v>active library module</x:v>
      </x:c>
      <x:c r="J214" s="69" t="str">
        <x:v>MOVE_WITH_IMPORT_UPDATES_AND_COMPATIBILITY_WRAPPER</x:v>
      </x:c>
      <x:c r="K214" s="70" t="b">
        <x:v>1</x:v>
      </x:c>
      <x:c r="L214" s="70" t="b">
        <x:v>0</x:v>
      </x:c>
      <x:c r="M214" s="70" t="b">
        <x:v>1</x:v>
      </x:c>
      <x:c r="N214" s="69" t="n">
        <x:v>3</x:v>
      </x:c>
      <x:c r="O214" s="69" t="n">
        <x:v>3</x:v>
      </x:c>
      <x:c r="P214" s="69" t="str">
        <x:v>scripts/build_trace_net_engineering_engram_core_v1.py; scripts/check_trace_net_engineering_engram_core_v1.py; tests/unit/test_trace_net_engineering_engram_core_v1.py; docs/trace_net_canonical_runtime_map_v1_README.md; tests/unit/test_trace_net_canonical_runtime_map_v1.py; tiff/trace_net_canonical_runtime_map_v1.py</x:v>
      </x:c>
      <x:c r="Q214" s="71" t="n">
        <x:v>0.95</x:v>
      </x:c>
      <x:c r="R214" s="69" t="str">
        <x:v>engram/memory naming</x:v>
      </x:c>
      <x:c r="S214" s="69" t="str">
        <x:v>Primary implementation belongs to the engram stage based on filename, imports, and inventory evidence.</x:v>
      </x:c>
      <x:c r="T214" s="69" t="str">
        <x:v>Update imports and retain the old tiff module as a wrapper when callers exist.</x:v>
      </x:c>
      <x:c r="U214" s="69" t="str"/>
      <x:c r="V214" s="69" t="str">
        <x:v>TRACE_NET_ENGINEERING_ENGRAM_CORE_BUILT, TRACE_NET_ENGINEERING_ENGRAM_CORE_QUALITY_CHECKED</x:v>
      </x:c>
      <x:c r="W214" s="69" t="str"/>
      <x:c r="X214" s="72" t="n">
        <x:v>29699</x:v>
      </x:c>
      <x:c r="Y214" s="70" t="b">
        <x:v>1</x:v>
      </x:c>
      <x:c r="Z214" s="69" t="str">
        <x:v>Compatibility required</x:v>
      </x:c>
      <x:c r="AA214" s="69" t="str">
        <x:v>https://github.com/jwild2027/heico-ai-internship-summer-2026/blob/srv/tiff/trace_net_engineering_engram_core_v1.py</x:v>
      </x:c>
      <x:c r="AB214" s="69" t="str">
        <x:v>shared &lt;= string:contract, string:shared; ingestion &lt;= path:tiff; ocr &lt;= string:ocr; embeddings &lt;= string:qdrant; retrieval &lt;= string:opensearch; brain_engram &lt;= path:engram, symbol:engram, symbol:memory_atom, string:engram, string:memory_atom, environment:engram</x:v>
      </x:c>
    </x:row>
    <x:row r="215">
      <x:c r="A215" s="68" t="n">
        <x:v>214</x:v>
      </x:c>
      <x:c r="B215" s="69" t="str">
        <x:v>tiff/trace_net_engineering_engram_crag_repair_v1.py</x:v>
      </x:c>
      <x:c r="C215" s="69" t="str">
        <x:v>trace_net_engineering_engram_crag_repair_v1.py</x:v>
      </x:c>
      <x:c r="D215" s="69" t="str">
        <x:v>validation</x:v>
      </x:c>
      <x:c r="E215" s="69" t="str">
        <x:v>brain_engram</x:v>
      </x:c>
      <x:c r="F215" s="69" t="str">
        <x:v>validation</x:v>
      </x:c>
      <x:c r="G215" s="69" t="str">
        <x:v>src/trace_net/validation/</x:v>
      </x:c>
      <x:c r="H215" s="69" t="str">
        <x:v>src/trace_net/validation/trace_net_engineering_engram_crag_repair_v1.py</x:v>
      </x:c>
      <x:c r="I215" s="69" t="str">
        <x:v>active library module</x:v>
      </x:c>
      <x:c r="J215" s="69" t="str">
        <x:v>MOVE_WITH_IMPORT_UPDATES_AND_COMPATIBILITY_WRAPPER</x:v>
      </x:c>
      <x:c r="K215" s="70" t="b">
        <x:v>1</x:v>
      </x:c>
      <x:c r="L215" s="70" t="b">
        <x:v>0</x:v>
      </x:c>
      <x:c r="M215" s="70" t="b">
        <x:v>1</x:v>
      </x:c>
      <x:c r="N215" s="69" t="n">
        <x:v>3</x:v>
      </x:c>
      <x:c r="O215" s="69" t="n">
        <x:v>4</x:v>
      </x:c>
      <x:c r="P215" s="69" t="str">
        <x:v>scripts/build_trace_net_engineering_engram_crag_repair_v1.py; scripts/check_trace_net_engineering_engram_crag_repair_v1.py; tests/unit/test_trace_net_engineering_engram_crag_repair_v1.py; docs/trace_net_canonical_runtime_map_v1_README.md; tests/unit/test_trace_net_canonical_runtime_map_v1.py; tiff/trace_net_canonical_runtime_map_v1.py; tools/patch_archive/apply_trace_net_h29_cli_alias_repair_v1.py</x:v>
      </x:c>
      <x:c r="Q215" s="71" t="n">
        <x:v>0.95</x:v>
      </x:c>
      <x:c r="R215" s="69" t="str">
        <x:v>cross-cutting validation/reliability</x:v>
      </x:c>
      <x:c r="S215" s="69" t="str">
        <x:v>Primary implementation belongs to the validation stage based on filename, imports, and inventory evidence.</x:v>
      </x:c>
      <x:c r="T215" s="69" t="str">
        <x:v>Update imports and retain the old tiff module as a wrapper when callers exist.</x:v>
      </x:c>
      <x:c r="U215" s="69" t="str"/>
      <x:c r="V215" s="69" t="str">
        <x:v>TRACE_NET_ENGINEERING_ENGRAM_CRAG_REPAIR_BUILT, TRACE_NET_ENGINEERING_ENGRAM_CRAG_REPAIR_CHECKED</x:v>
      </x:c>
      <x:c r="W215" s="69" t="str"/>
      <x:c r="X215" s="72" t="n">
        <x:v>19655</x:v>
      </x:c>
      <x:c r="Y215" s="70" t="b">
        <x:v>1</x:v>
      </x:c>
      <x:c r="Z215" s="69" t="str">
        <x:v>Compatibility required</x:v>
      </x:c>
      <x:c r="AA215" s="69" t="str">
        <x:v>https://github.com/jwild2027/heico-ai-internship-summer-2026/blob/srv/tiff/trace_net_engineering_engram_crag_repair_v1.py</x:v>
      </x:c>
      <x:c r="AB215" s="69" t="str">
        <x:v>ingestion &lt;= path:tiff; tables &lt;= string:ipl; embeddings &lt;= string:qdrant; retrieval &lt;= string:opensearch; brain_engram &lt;= path:engram, string:engram, environment:engram; context &lt;= string:proof_context</x:v>
      </x:c>
    </x:row>
    <x:row r="216">
      <x:c r="A216" s="68" t="n">
        <x:v>215</x:v>
      </x:c>
      <x:c r="B216" s="69" t="str">
        <x:v>tiff/trace_net_engineering_engram_crag_repair_v1.py.bak_h29_cli_alias_repair_v1_20260701_150010</x:v>
      </x:c>
      <x:c r="C216" s="69" t="str">
        <x:v>trace_net_engineering_engram_crag_repair_v1.py.bak_h29_cli_alias_repair_v1_20260701_150010</x:v>
      </x:c>
      <x:c r="D216" s="69" t="str">
        <x:v>ingestion</x:v>
      </x:c>
      <x:c r="E216" s="69" t="str">
        <x:v>brain_engram, validation</x:v>
      </x:c>
      <x:c r="F216" s="69" t="str">
        <x:v>legacy</x:v>
      </x:c>
      <x:c r="G216" s="69" t="str">
        <x:v>legacy/tiff_backups/</x:v>
      </x:c>
      <x:c r="H216" s="69" t="str">
        <x:v>legacy/tiff_backups/trace_net_engineering_engram_crag_repair_v1.py.bak_h29_cli_alias_repair_v1_20260701_150010</x:v>
      </x:c>
      <x:c r="I216" s="69" t="str">
        <x:v>backup snapshot</x:v>
      </x:c>
      <x:c r="J216" s="69" t="str">
        <x:v>LEGACY_ARCHIVE_WITH_GIT_MV</x:v>
      </x:c>
      <x:c r="K216" s="70" t="b">
        <x:v>0</x:v>
      </x:c>
      <x:c r="L216" s="70" t="b">
        <x:v>0</x:v>
      </x:c>
      <x:c r="M216" s="70" t="b">
        <x:v>0</x:v>
      </x:c>
      <x:c r="N216" s="69" t="n">
        <x:v>0</x:v>
      </x:c>
      <x:c r="O216" s="69" t="n">
        <x:v>0</x:v>
      </x:c>
      <x:c r="P216" s="69" t="str"/>
      <x:c r="Q216" s="71" t="n">
        <x:v>1</x:v>
      </x:c>
      <x:c r="R216" s="69" t="str">
        <x:v>backup snapshot</x:v>
      </x:c>
      <x:c r="S216" s="69" t="str">
        <x:v>Timestamped or pre-change backup copy beside the active module.</x:v>
      </x:c>
      <x:c r="T216" s="69" t="str">
        <x:v>Archive only; do not delete. Confirm the non-backup active file exists first.</x:v>
      </x:c>
      <x:c r="U216" s="69" t="str"/>
      <x:c r="V216" s="69" t="str"/>
      <x:c r="W216" s="69" t="str"/>
      <x:c r="X216" s="72" t="n">
        <x:v>18127</x:v>
      </x:c>
      <x:c r="Y216" s="70" t="b">
        <x:v>1</x:v>
      </x:c>
      <x:c r="Z216" s="69" t="str">
        <x:v>Legacy archive</x:v>
      </x:c>
      <x:c r="AA216" s="69" t="str">
        <x:v>https://github.com/jwild2027/heico-ai-internship-summer-2026/blob/srv/tiff/trace_net_engineering_engram_crag_repair_v1.py.bak_h29_cli_alias_repair_v1_20260701_150010</x:v>
      </x:c>
      <x:c r="AB216" s="69" t="str">
        <x:v>ingestion &lt;= path:tiff; brain_engram &lt;= path:engram; validation &lt;= path:crag; referenced_by_count=5</x:v>
      </x:c>
    </x:row>
    <x:row r="217">
      <x:c r="A217" s="68" t="n">
        <x:v>216</x:v>
      </x:c>
      <x:c r="B217" s="69" t="str">
        <x:v>tiff/trace_net_engineering_engram_memory_layers_v1.py</x:v>
      </x:c>
      <x:c r="C217" s="69" t="str">
        <x:v>trace_net_engineering_engram_memory_layers_v1.py</x:v>
      </x:c>
      <x:c r="D217" s="69" t="str">
        <x:v>brain_engram</x:v>
      </x:c>
      <x:c r="E217" s="69" t="str"/>
      <x:c r="F217" s="69" t="str">
        <x:v>engram</x:v>
      </x:c>
      <x:c r="G217" s="69" t="str">
        <x:v>src/trace_net/engram/</x:v>
      </x:c>
      <x:c r="H217" s="69" t="str">
        <x:v>src/trace_net/engram/trace_net_engineering_engram_memory_layers_v1.py</x:v>
      </x:c>
      <x:c r="I217" s="69" t="str">
        <x:v>active library module</x:v>
      </x:c>
      <x:c r="J217" s="69" t="str">
        <x:v>MOVE_WITH_IMPORT_UPDATES_AND_COMPATIBILITY_WRAPPER</x:v>
      </x:c>
      <x:c r="K217" s="70" t="b">
        <x:v>1</x:v>
      </x:c>
      <x:c r="L217" s="70" t="b">
        <x:v>0</x:v>
      </x:c>
      <x:c r="M217" s="70" t="b">
        <x:v>1</x:v>
      </x:c>
      <x:c r="N217" s="69" t="n">
        <x:v>3</x:v>
      </x:c>
      <x:c r="O217" s="69" t="n">
        <x:v>0</x:v>
      </x:c>
      <x:c r="P217" s="69" t="str">
        <x:v>scripts/build_trace_net_engineering_engram_memory_layers_v1.py; scripts/check_trace_net_engineering_engram_memory_layers_v1.py; tests/unit/test_trace_net_engineering_engram_memory_layers_v1.py</x:v>
      </x:c>
      <x:c r="Q217" s="71" t="n">
        <x:v>0.95</x:v>
      </x:c>
      <x:c r="R217" s="69" t="str">
        <x:v>engram/memory naming</x:v>
      </x:c>
      <x:c r="S217" s="69" t="str">
        <x:v>Primary implementation belongs to the engram stage based on filename, imports, and inventory evidence.</x:v>
      </x:c>
      <x:c r="T217" s="69" t="str">
        <x:v>Update imports and retain the old tiff module as a wrapper when callers exist.</x:v>
      </x:c>
      <x:c r="U217" s="69" t="str"/>
      <x:c r="V217" s="69" t="str">
        <x:v>TRACE_NET_ENGINEERING_ENGRAM_MEMORY_LAYERS_BUILT, TRACE_NET_ENGINEERING_ENGRAM_MEMORY_LAYERS_CHECKED</x:v>
      </x:c>
      <x:c r="W217" s="69" t="str"/>
      <x:c r="X217" s="72" t="n">
        <x:v>40087</x:v>
      </x:c>
      <x:c r="Y217" s="70" t="b">
        <x:v>1</x:v>
      </x:c>
      <x:c r="Z217" s="69" t="str">
        <x:v>Compatibility required</x:v>
      </x:c>
      <x:c r="AA217" s="69" t="str">
        <x:v>https://github.com/jwild2027/heico-ai-internship-summer-2026/blob/srv/tiff/trace_net_engineering_engram_memory_layers_v1.py</x:v>
      </x:c>
      <x:c r="AB217" s="69" t="str">
        <x:v>shared &lt;= string:shared; ingestion &lt;= path:tiff, string:convert; ocr &lt;= string:ocr; visual &lt;= string:figure_link, string:visual; tables &lt;= symbol:table, string:table; graph &lt;= string:graph</x:v>
      </x:c>
    </x:row>
    <x:row r="218">
      <x:c r="A218" s="68" t="n">
        <x:v>217</x:v>
      </x:c>
      <x:c r="B218" s="69" t="str">
        <x:v>tiff/trace_net_engineering_engram_postgres_feedback_ledger_v1.py</x:v>
      </x:c>
      <x:c r="C218" s="69" t="str">
        <x:v>trace_net_engineering_engram_postgres_feedback_ledger_v1.py</x:v>
      </x:c>
      <x:c r="D218" s="69" t="str">
        <x:v>feedback</x:v>
      </x:c>
      <x:c r="E218" s="69" t="str">
        <x:v>brain_engram, validation</x:v>
      </x:c>
      <x:c r="F218" s="69" t="str">
        <x:v>engram</x:v>
      </x:c>
      <x:c r="G218" s="69" t="str">
        <x:v>src/trace_net/engram/</x:v>
      </x:c>
      <x:c r="H218" s="69" t="str">
        <x:v>src/trace_net/engram/trace_net_engineering_engram_postgres_feedback_ledger_v1.py</x:v>
      </x:c>
      <x:c r="I218" s="69" t="str">
        <x:v>active library module</x:v>
      </x:c>
      <x:c r="J218" s="69" t="str">
        <x:v>MOVE_WITH_IMPORT_UPDATES_AND_COMPATIBILITY_WRAPPER</x:v>
      </x:c>
      <x:c r="K218" s="70" t="b">
        <x:v>1</x:v>
      </x:c>
      <x:c r="L218" s="70" t="b">
        <x:v>0</x:v>
      </x:c>
      <x:c r="M218" s="70" t="b">
        <x:v>1</x:v>
      </x:c>
      <x:c r="N218" s="69" t="n">
        <x:v>3</x:v>
      </x:c>
      <x:c r="O218" s="69" t="n">
        <x:v>0</x:v>
      </x:c>
      <x:c r="P218" s="69" t="str">
        <x:v>scripts/build_trace_net_engineering_engram_postgres_feedback_ledger_v1.py; scripts/check_trace_net_engineering_engram_postgres_feedback_ledger_v1.py; tests/unit/test_trace_net_engineering_engram_postgres_feedback_ledger_v1.py</x:v>
      </x:c>
      <x:c r="Q218" s="71" t="n">
        <x:v>0.95</x:v>
      </x:c>
      <x:c r="R218" s="69" t="str">
        <x:v>engram/memory naming</x:v>
      </x:c>
      <x:c r="S218" s="69" t="str">
        <x:v>Primary implementation belongs to the engram stage based on filename, imports, and inventory evidence.</x:v>
      </x:c>
      <x:c r="T218" s="69" t="str">
        <x:v>Update imports and retain the old tiff module as a wrapper when callers exist.</x:v>
      </x:c>
      <x:c r="U218" s="69" t="str"/>
      <x:c r="V218" s="69" t="str">
        <x:v>TRACE_NET_ENGINEERING_ENGRAM_POSTGRES_FEEDBACK_LEDGER_BUILT, TRACE_NET_ENGINEERING_ENGRAM_POSTGRES_FEEDBACK_LEDGER_CHECKED</x:v>
      </x:c>
      <x:c r="W218" s="69" t="str"/>
      <x:c r="X218" s="72" t="n">
        <x:v>20795</x:v>
      </x:c>
      <x:c r="Y218" s="70" t="b">
        <x:v>1</x:v>
      </x:c>
      <x:c r="Z218" s="69" t="str">
        <x:v>Compatibility required</x:v>
      </x:c>
      <x:c r="AA218" s="69" t="str">
        <x:v>https://github.com/jwild2027/heico-ai-internship-summer-2026/blob/srv/tiff/trace_net_engineering_engram_postgres_feedback_ledger_v1.py</x:v>
      </x:c>
      <x:c r="AB218" s="69" t="str">
        <x:v>shared &lt;= string:schema; ingestion &lt;= path:tiff; tables &lt;= symbol:table, string:table; embeddings &lt;= string:qdrant; retrieval &lt;= string:opensearch, string:retriev; brain_engram &lt;= path:engram, string:critic_memory, string:engram, string:episodic_memory, string:memory_layer, environment:engram</x:v>
      </x:c>
    </x:row>
    <x:row r="219">
      <x:c r="A219" s="68" t="n">
        <x:v>218</x:v>
      </x:c>
      <x:c r="B219" s="69" t="str">
        <x:v>tiff/trace_net_engineering_engram_prompt_retrieval_injector_v1.py</x:v>
      </x:c>
      <x:c r="C219" s="69" t="str">
        <x:v>trace_net_engineering_engram_prompt_retrieval_injector_v1.py</x:v>
      </x:c>
      <x:c r="D219" s="69" t="str">
        <x:v>brain_engram</x:v>
      </x:c>
      <x:c r="E219" s="69" t="str">
        <x:v>retrieval, benchmarks, ingestion</x:v>
      </x:c>
      <x:c r="F219" s="69" t="str">
        <x:v>engram</x:v>
      </x:c>
      <x:c r="G219" s="69" t="str">
        <x:v>src/trace_net/engram/</x:v>
      </x:c>
      <x:c r="H219" s="69" t="str">
        <x:v>src/trace_net/engram/trace_net_engineering_engram_prompt_retrieval_injector_v1.py</x:v>
      </x:c>
      <x:c r="I219" s="69" t="str">
        <x:v>active library module</x:v>
      </x:c>
      <x:c r="J219" s="69" t="str">
        <x:v>MOVE_WITH_IMPORT_UPDATES_AND_COMPATIBILITY_WRAPPER</x:v>
      </x:c>
      <x:c r="K219" s="70" t="b">
        <x:v>1</x:v>
      </x:c>
      <x:c r="L219" s="70" t="b">
        <x:v>0</x:v>
      </x:c>
      <x:c r="M219" s="70" t="b">
        <x:v>1</x:v>
      </x:c>
      <x:c r="N219" s="69" t="n">
        <x:v>3</x:v>
      </x:c>
      <x:c r="O219" s="69" t="n">
        <x:v>0</x:v>
      </x:c>
      <x:c r="P219" s="69" t="str">
        <x:v>scripts/build_trace_net_engineering_engram_prompt_retrieval_injector_v1.py; scripts/check_trace_net_engineering_engram_prompt_retrieval_injector_v1.py; tests/unit/test_trace_net_engineering_engram_prompt_retrieval_injector_v1.py</x:v>
      </x:c>
      <x:c r="Q219" s="71" t="n">
        <x:v>0.95</x:v>
      </x:c>
      <x:c r="R219" s="69" t="str">
        <x:v>engram/memory naming</x:v>
      </x:c>
      <x:c r="S219" s="69" t="str">
        <x:v>Primary implementation belongs to the engram stage based on filename, imports, and inventory evidence.</x:v>
      </x:c>
      <x:c r="T219" s="69" t="str">
        <x:v>Update imports and retain the old tiff module as a wrapper when callers exist.</x:v>
      </x:c>
      <x:c r="U219" s="69" t="str"/>
      <x:c r="V219" s="69" t="str">
        <x:v>TRACE_NET_ENGINEERING_ENGRAM_PROMPT_RETRIEVAL_INJECTOR_BUILT, TRACE_NET_ENGINEERING_ENGRAM_PROMPT_RETRIEVAL_INJECTOR_CHECKED</x:v>
      </x:c>
      <x:c r="W219" s="69" t="str"/>
      <x:c r="X219" s="72" t="n">
        <x:v>18629</x:v>
      </x:c>
      <x:c r="Y219" s="70" t="b">
        <x:v>1</x:v>
      </x:c>
      <x:c r="Z219" s="69" t="str">
        <x:v>Compatibility required</x:v>
      </x:c>
      <x:c r="AA219" s="69" t="str">
        <x:v>https://github.com/jwild2027/heico-ai-internship-summer-2026/blob/srv/tiff/trace_net_engineering_engram_prompt_retrieval_injector_v1.py</x:v>
      </x:c>
      <x:c r="AB219" s="69" t="str">
        <x:v>shared &lt;= string:contract; ingestion &lt;= path:tiff, string:convert; embeddings &lt;= string:embedding, string:qdrant; retrieval &lt;= path:retriev, symbol:retriev, string:opensearch, string:retriev, environment:retriev; brain_engram &lt;= path:engram, string:critic_memory, string:engram, string:episodic_memory, string:memory_layer, environment:engram; context &lt;= string:proof_context, string:source_trace</x:v>
      </x:c>
    </x:row>
    <x:row r="220">
      <x:c r="A220" s="68" t="n">
        <x:v>219</x:v>
      </x:c>
      <x:c r="B220" s="69" t="str">
        <x:v>tiff/trace_net_engineering_engram_prompt_retrieval_llm_smoke_v1.py</x:v>
      </x:c>
      <x:c r="C220" s="69" t="str">
        <x:v>trace_net_engineering_engram_prompt_retrieval_llm_smoke_v1.py</x:v>
      </x:c>
      <x:c r="D220" s="69" t="str">
        <x:v>benchmarks</x:v>
      </x:c>
      <x:c r="E220" s="69" t="str">
        <x:v>retrieval, brain_engram</x:v>
      </x:c>
      <x:c r="F220" s="69" t="str">
        <x:v>engram</x:v>
      </x:c>
      <x:c r="G220" s="69" t="str">
        <x:v>src/trace_net/engram/</x:v>
      </x:c>
      <x:c r="H220" s="69" t="str">
        <x:v>src/trace_net/engram/trace_net_engineering_engram_prompt_retrieval_llm_smoke_v1.py</x:v>
      </x:c>
      <x:c r="I220" s="69" t="str">
        <x:v>active library module</x:v>
      </x:c>
      <x:c r="J220" s="69" t="str">
        <x:v>MOVE_WITH_PROTECTED_COMPATIBILITY_WRAPPER</x:v>
      </x:c>
      <x:c r="K220" s="70" t="b">
        <x:v>1</x:v>
      </x:c>
      <x:c r="L220" s="70" t="b">
        <x:v>1</x:v>
      </x:c>
      <x:c r="M220" s="70" t="b">
        <x:v>1</x:v>
      </x:c>
      <x:c r="N220" s="69" t="n">
        <x:v>3</x:v>
      </x:c>
      <x:c r="O220" s="69" t="n">
        <x:v>1</x:v>
      </x:c>
      <x:c r="P220" s="69" t="str">
        <x:v>scripts/build_trace_net_engineering_engram_prompt_retrieval_llm_smoke_v1.py; scripts/check_trace_net_engineering_engram_prompt_retrieval_llm_smoke_v1.py; tests/unit/test_trace_net_engineering_engram_prompt_retrieval_llm_smoke_v1.py; tools/patch_archive/apply_trace_net_h22_prompt_boundary_phrase_fix_v1.py</x:v>
      </x:c>
      <x:c r="Q220" s="71" t="n">
        <x:v>0.95</x:v>
      </x:c>
      <x:c r="R220" s="69" t="str">
        <x:v>engram/memory naming</x:v>
      </x:c>
      <x:c r="S220" s="69" t="str">
        <x:v>Primary implementation belongs to the engram stage based on filename, imports, and inventory evidence.</x:v>
      </x:c>
      <x:c r="T220" s="69" t="str">
        <x:v>Update imports and retain the old tiff module as a wrapper when callers exist.</x:v>
      </x:c>
      <x:c r="U220" s="69" t="str">
        <x:v>11434</x:v>
      </x:c>
      <x:c r="V220" s="69" t="str">
        <x:v>TRACE_NET_ENGINEERING_ENGRAM_PROMPT_RETRIEVAL_LLM_SMOKE_BUILT, TRACE_NET_ENGINEERING_ENGRAM_PROMPT_RETRIEVAL_LLM_SMOKE_CHECKED</x:v>
      </x:c>
      <x:c r="W220" s="69" t="str"/>
      <x:c r="X220" s="72" t="n">
        <x:v>20629</x:v>
      </x:c>
      <x:c r="Y220" s="70" t="b">
        <x:v>1</x:v>
      </x:c>
      <x:c r="Z220" s="69" t="str">
        <x:v>Protected runtime</x:v>
      </x:c>
      <x:c r="AA220" s="69" t="str">
        <x:v>https://github.com/jwild2027/heico-ai-internship-summer-2026/blob/srv/tiff/trace_net_engineering_engram_prompt_retrieval_llm_smoke_v1.py</x:v>
      </x:c>
      <x:c r="AB220" s="69" t="str">
        <x:v>shared &lt;= string:contract; ingestion &lt;= path:tiff; embeddings &lt;= string:qdrant; retrieval &lt;= path:retriev, symbol:retriev, string:opensearch, string:retriev, environment:retriev; brain_engram &lt;= path:engram, string:engram, environment:engram; context &lt;= string:proof_context, string:source_trace</x:v>
      </x:c>
    </x:row>
    <x:row r="221">
      <x:c r="A221" s="68" t="n">
        <x:v>220</x:v>
      </x:c>
      <x:c r="B221" s="69" t="str">
        <x:v>tiff/trace_net_engineering_engram_prompt_retrieval_llm_smoke_v1.py.bak_h22_prompt_boundary_phrase_fix_v1_20260701_132430</x:v>
      </x:c>
      <x:c r="C221" s="69" t="str">
        <x:v>trace_net_engineering_engram_prompt_retrieval_llm_smoke_v1.py.bak_h22_prompt_boundary_phrase_fix_v1_20260701_132430</x:v>
      </x:c>
      <x:c r="D221" s="69" t="str">
        <x:v>benchmarks</x:v>
      </x:c>
      <x:c r="E221" s="69" t="str">
        <x:v>ingestion, retrieval, brain_engram</x:v>
      </x:c>
      <x:c r="F221" s="69" t="str">
        <x:v>legacy</x:v>
      </x:c>
      <x:c r="G221" s="69" t="str">
        <x:v>legacy/tiff_backups/</x:v>
      </x:c>
      <x:c r="H221" s="69" t="str">
        <x:v>legacy/tiff_backups/trace_net_engineering_engram_prompt_retrieval_llm_smoke_v1.py.bak_h22_prompt_boundary_phrase_fix_v1_20260701_132430</x:v>
      </x:c>
      <x:c r="I221" s="69" t="str">
        <x:v>backup snapshot</x:v>
      </x:c>
      <x:c r="J221" s="69" t="str">
        <x:v>LEGACY_ARCHIVE_WITH_GIT_MV</x:v>
      </x:c>
      <x:c r="K221" s="70" t="b">
        <x:v>0</x:v>
      </x:c>
      <x:c r="L221" s="70" t="b">
        <x:v>0</x:v>
      </x:c>
      <x:c r="M221" s="70" t="b">
        <x:v>0</x:v>
      </x:c>
      <x:c r="N221" s="69" t="n">
        <x:v>0</x:v>
      </x:c>
      <x:c r="O221" s="69" t="n">
        <x:v>0</x:v>
      </x:c>
      <x:c r="P221" s="69" t="str"/>
      <x:c r="Q221" s="71" t="n">
        <x:v>1</x:v>
      </x:c>
      <x:c r="R221" s="69" t="str">
        <x:v>backup snapshot</x:v>
      </x:c>
      <x:c r="S221" s="69" t="str">
        <x:v>Timestamped or pre-change backup copy beside the active module.</x:v>
      </x:c>
      <x:c r="T221" s="69" t="str">
        <x:v>Archive only; do not delete. Confirm the non-backup active file exists first.</x:v>
      </x:c>
      <x:c r="U221" s="69" t="str"/>
      <x:c r="V221" s="69" t="str"/>
      <x:c r="W221" s="69" t="str"/>
      <x:c r="X221" s="72" t="n">
        <x:v>20560</x:v>
      </x:c>
      <x:c r="Y221" s="70" t="b">
        <x:v>1</x:v>
      </x:c>
      <x:c r="Z221" s="69" t="str">
        <x:v>Legacy archive</x:v>
      </x:c>
      <x:c r="AA221" s="69" t="str">
        <x:v>https://github.com/jwild2027/heico-ai-internship-summer-2026/blob/srv/tiff/trace_net_engineering_engram_prompt_retrieval_llm_smoke_v1.py.bak_h22_prompt_boundary_phrase_fix_v1_20260701_132430</x:v>
      </x:c>
      <x:c r="AB221" s="69" t="str">
        <x:v>ingestion &lt;= path:tiff; retrieval &lt;= path:retriev; brain_engram &lt;= path:engram; benchmarks &lt;= path:eval, path:smoke; referenced_by_count=5</x:v>
      </x:c>
    </x:row>
    <x:row r="222">
      <x:c r="A222" s="68" t="n">
        <x:v>221</x:v>
      </x:c>
      <x:c r="B222" s="69" t="str">
        <x:v>tiff/trace_net_engineering_engram_prompt_retrieval_llm_smoke_v1.py.bak_manual_h22_boundary_phrase_20260701_132511</x:v>
      </x:c>
      <x:c r="C222" s="69" t="str">
        <x:v>trace_net_engineering_engram_prompt_retrieval_llm_smoke_v1.py.bak_manual_h22_boundary_phrase_20260701_132511</x:v>
      </x:c>
      <x:c r="D222" s="69" t="str">
        <x:v>benchmarks</x:v>
      </x:c>
      <x:c r="E222" s="69" t="str">
        <x:v>ingestion, retrieval, brain_engram</x:v>
      </x:c>
      <x:c r="F222" s="69" t="str">
        <x:v>legacy</x:v>
      </x:c>
      <x:c r="G222" s="69" t="str">
        <x:v>legacy/tiff_backups/</x:v>
      </x:c>
      <x:c r="H222" s="69" t="str">
        <x:v>legacy/tiff_backups/trace_net_engineering_engram_prompt_retrieval_llm_smoke_v1.py.bak_manual_h22_boundary_phrase_20260701_132511</x:v>
      </x:c>
      <x:c r="I222" s="69" t="str">
        <x:v>backup snapshot</x:v>
      </x:c>
      <x:c r="J222" s="69" t="str">
        <x:v>LEGACY_ARCHIVE_WITH_GIT_MV</x:v>
      </x:c>
      <x:c r="K222" s="70" t="b">
        <x:v>0</x:v>
      </x:c>
      <x:c r="L222" s="70" t="b">
        <x:v>0</x:v>
      </x:c>
      <x:c r="M222" s="70" t="b">
        <x:v>0</x:v>
      </x:c>
      <x:c r="N222" s="69" t="n">
        <x:v>0</x:v>
      </x:c>
      <x:c r="O222" s="69" t="n">
        <x:v>0</x:v>
      </x:c>
      <x:c r="P222" s="69" t="str"/>
      <x:c r="Q222" s="71" t="n">
        <x:v>1</x:v>
      </x:c>
      <x:c r="R222" s="69" t="str">
        <x:v>backup snapshot</x:v>
      </x:c>
      <x:c r="S222" s="69" t="str">
        <x:v>Timestamped or pre-change backup copy beside the active module.</x:v>
      </x:c>
      <x:c r="T222" s="69" t="str">
        <x:v>Archive only; do not delete. Confirm the non-backup active file exists first.</x:v>
      </x:c>
      <x:c r="U222" s="69" t="str"/>
      <x:c r="V222" s="69" t="str"/>
      <x:c r="W222" s="69" t="str"/>
      <x:c r="X222" s="72" t="n">
        <x:v>20560</x:v>
      </x:c>
      <x:c r="Y222" s="70" t="b">
        <x:v>1</x:v>
      </x:c>
      <x:c r="Z222" s="69" t="str">
        <x:v>Legacy archive</x:v>
      </x:c>
      <x:c r="AA222" s="69" t="str">
        <x:v>https://github.com/jwild2027/heico-ai-internship-summer-2026/blob/srv/tiff/trace_net_engineering_engram_prompt_retrieval_llm_smoke_v1.py.bak_manual_h22_boundary_phrase_20260701_132511</x:v>
      </x:c>
      <x:c r="AB222" s="69" t="str">
        <x:v>ingestion &lt;= path:tiff; retrieval &lt;= path:retriev; brain_engram &lt;= path:engram; benchmarks &lt;= path:eval, path:smoke; referenced_by_count=5</x:v>
      </x:c>
    </x:row>
    <x:row r="223">
      <x:c r="A223" s="68" t="n">
        <x:v>222</x:v>
      </x:c>
      <x:c r="B223" s="69" t="str">
        <x:v>tiff/trace_net_engineering_engram_prompt_retrieval_smoke_v1.py</x:v>
      </x:c>
      <x:c r="C223" s="69" t="str">
        <x:v>trace_net_engineering_engram_prompt_retrieval_smoke_v1.py</x:v>
      </x:c>
      <x:c r="D223" s="69" t="str">
        <x:v>benchmarks</x:v>
      </x:c>
      <x:c r="E223" s="69" t="str">
        <x:v>retrieval, brain_engram</x:v>
      </x:c>
      <x:c r="F223" s="69" t="str">
        <x:v>engram</x:v>
      </x:c>
      <x:c r="G223" s="69" t="str">
        <x:v>src/trace_net/engram/</x:v>
      </x:c>
      <x:c r="H223" s="69" t="str">
        <x:v>src/trace_net/engram/trace_net_engineering_engram_prompt_retrieval_smoke_v1.py</x:v>
      </x:c>
      <x:c r="I223" s="69" t="str">
        <x:v>active library module</x:v>
      </x:c>
      <x:c r="J223" s="69" t="str">
        <x:v>MOVE_WITH_IMPORT_UPDATES_AND_COMPATIBILITY_WRAPPER</x:v>
      </x:c>
      <x:c r="K223" s="70" t="b">
        <x:v>1</x:v>
      </x:c>
      <x:c r="L223" s="70" t="b">
        <x:v>0</x:v>
      </x:c>
      <x:c r="M223" s="70" t="b">
        <x:v>1</x:v>
      </x:c>
      <x:c r="N223" s="69" t="n">
        <x:v>3</x:v>
      </x:c>
      <x:c r="O223" s="69" t="n">
        <x:v>0</x:v>
      </x:c>
      <x:c r="P223" s="69" t="str">
        <x:v>scripts/build_trace_net_engineering_engram_prompt_retrieval_smoke_v1.py; scripts/check_trace_net_engineering_engram_prompt_retrieval_smoke_v1.py; tests/unit/test_trace_net_engineering_engram_prompt_retrieval_smoke_v1.py</x:v>
      </x:c>
      <x:c r="Q223" s="71" t="n">
        <x:v>0.95</x:v>
      </x:c>
      <x:c r="R223" s="69" t="str">
        <x:v>engram/memory naming</x:v>
      </x:c>
      <x:c r="S223" s="69" t="str">
        <x:v>Primary implementation belongs to the engram stage based on filename, imports, and inventory evidence.</x:v>
      </x:c>
      <x:c r="T223" s="69" t="str">
        <x:v>Update imports and retain the old tiff module as a wrapper when callers exist.</x:v>
      </x:c>
      <x:c r="U223" s="69" t="str"/>
      <x:c r="V223" s="69" t="str">
        <x:v>TRACE_NET_ENGINEERING_ENGRAM_PROMPT_RETRIEVAL_SMOKE_BUILT, TRACE_NET_ENGINEERING_ENGRAM_PROMPT_RETRIEVAL_SMOKE_CHECKED</x:v>
      </x:c>
      <x:c r="W223" s="69" t="str"/>
      <x:c r="X223" s="72" t="n">
        <x:v>13203</x:v>
      </x:c>
      <x:c r="Y223" s="70" t="b">
        <x:v>1</x:v>
      </x:c>
      <x:c r="Z223" s="69" t="str">
        <x:v>Compatibility required</x:v>
      </x:c>
      <x:c r="AA223" s="69" t="str">
        <x:v>https://github.com/jwild2027/heico-ai-internship-summer-2026/blob/srv/tiff/trace_net_engineering_engram_prompt_retrieval_smoke_v1.py</x:v>
      </x:c>
      <x:c r="AB223" s="69" t="str">
        <x:v>ingestion &lt;= path:tiff; embeddings &lt;= string:qdrant; retrieval &lt;= path:retriev, symbol:retriev, string:opensearch, string:retriev, environment:retriev; brain_engram &lt;= path:engram, string:engram, string:memory_layer, environment:engram; context &lt;= string:proof_context; serving &lt;= string:serve</x:v>
      </x:c>
    </x:row>
    <x:row r="224">
      <x:c r="A224" s="68" t="n">
        <x:v>223</x:v>
      </x:c>
      <x:c r="B224" s="69" t="str">
        <x:v>tiff/trace_net_engineering_engram_qdrant_adapter_v1.py</x:v>
      </x:c>
      <x:c r="C224" s="69" t="str">
        <x:v>trace_net_engineering_engram_qdrant_adapter_v1.py</x:v>
      </x:c>
      <x:c r="D224" s="69" t="str">
        <x:v>embeddings</x:v>
      </x:c>
      <x:c r="E224" s="69" t="str">
        <x:v>brain_engram</x:v>
      </x:c>
      <x:c r="F224" s="69" t="str">
        <x:v>engram</x:v>
      </x:c>
      <x:c r="G224" s="69" t="str">
        <x:v>src/trace_net/engram/</x:v>
      </x:c>
      <x:c r="H224" s="69" t="str">
        <x:v>src/trace_net/engram/trace_net_engineering_engram_qdrant_adapter_v1.py</x:v>
      </x:c>
      <x:c r="I224" s="69" t="str">
        <x:v>active library module</x:v>
      </x:c>
      <x:c r="J224" s="69" t="str">
        <x:v>MOVE_WITH_IMPORT_UPDATES_AND_COMPATIBILITY_WRAPPER</x:v>
      </x:c>
      <x:c r="K224" s="70" t="b">
        <x:v>1</x:v>
      </x:c>
      <x:c r="L224" s="70" t="b">
        <x:v>0</x:v>
      </x:c>
      <x:c r="M224" s="70" t="b">
        <x:v>1</x:v>
      </x:c>
      <x:c r="N224" s="69" t="n">
        <x:v>3</x:v>
      </x:c>
      <x:c r="O224" s="69" t="n">
        <x:v>0</x:v>
      </x:c>
      <x:c r="P224" s="69" t="str">
        <x:v>scripts/build_trace_net_engineering_engram_qdrant_adapter_v1.py; scripts/check_trace_net_engineering_engram_qdrant_adapter_v1.py; tests/unit/test_trace_net_engineering_engram_qdrant_adapter_v1.py</x:v>
      </x:c>
      <x:c r="Q224" s="71" t="n">
        <x:v>0.95</x:v>
      </x:c>
      <x:c r="R224" s="69" t="str">
        <x:v>engram/memory naming</x:v>
      </x:c>
      <x:c r="S224" s="69" t="str">
        <x:v>Primary implementation belongs to the engram stage based on filename, imports, and inventory evidence.</x:v>
      </x:c>
      <x:c r="T224" s="69" t="str">
        <x:v>Update imports and retain the old tiff module as a wrapper when callers exist.</x:v>
      </x:c>
      <x:c r="U224" s="69" t="str"/>
      <x:c r="V224" s="69" t="str">
        <x:v>TRACE_NET_ENGINEERING_ENGRAM_QDRANT_ADAPTER_BUILT, TRACE_NET_ENGINEERING_ENGRAM_QDRANT_ADAPTER_CHECKED</x:v>
      </x:c>
      <x:c r="W224" s="69" t="str"/>
      <x:c r="X224" s="72" t="n">
        <x:v>21408</x:v>
      </x:c>
      <x:c r="Y224" s="70" t="b">
        <x:v>1</x:v>
      </x:c>
      <x:c r="Z224" s="69" t="str">
        <x:v>Compatibility required</x:v>
      </x:c>
      <x:c r="AA224" s="69" t="str">
        <x:v>https://github.com/jwild2027/heico-ai-internship-summer-2026/blob/srv/tiff/trace_net_engineering_engram_qdrant_adapter_v1.py</x:v>
      </x:c>
      <x:c r="AB224" s="69" t="str">
        <x:v>ingestion &lt;= path:tiff; ocr &lt;= string:ocr; visual &lt;= string:visual; embeddings &lt;= path:qdrant, symbol:qdrant, string:qdrant, environment:qdrant; retrieval &lt;= string:opensearch, string:retriev; brain_engram &lt;= path:engram, string:critic_memory, string:engram, string:episodic_memory, string:memory_layer, environment:engram</x:v>
      </x:c>
    </x:row>
    <x:row r="225">
      <x:c r="A225" s="68" t="n">
        <x:v>224</x:v>
      </x:c>
      <x:c r="B225" s="69" t="str">
        <x:v>tiff/trace_net_engineering_engram_self_rag_critic_v1.py</x:v>
      </x:c>
      <x:c r="C225" s="69" t="str">
        <x:v>trace_net_engineering_engram_self_rag_critic_v1.py</x:v>
      </x:c>
      <x:c r="D225" s="69" t="str">
        <x:v>validation</x:v>
      </x:c>
      <x:c r="E225" s="69" t="str">
        <x:v>brain_engram</x:v>
      </x:c>
      <x:c r="F225" s="69" t="str">
        <x:v>validation</x:v>
      </x:c>
      <x:c r="G225" s="69" t="str">
        <x:v>src/trace_net/validation/</x:v>
      </x:c>
      <x:c r="H225" s="69" t="str">
        <x:v>src/trace_net/validation/trace_net_engineering_engram_self_rag_critic_v1.py</x:v>
      </x:c>
      <x:c r="I225" s="69" t="str">
        <x:v>runtime validation/gating module</x:v>
      </x:c>
      <x:c r="J225" s="69" t="str">
        <x:v>MOVE_WITH_IMPORT_UPDATES_AND_COMPATIBILITY_WRAPPER</x:v>
      </x:c>
      <x:c r="K225" s="70" t="b">
        <x:v>1</x:v>
      </x:c>
      <x:c r="L225" s="70" t="b">
        <x:v>0</x:v>
      </x:c>
      <x:c r="M225" s="70" t="b">
        <x:v>1</x:v>
      </x:c>
      <x:c r="N225" s="69" t="n">
        <x:v>3</x:v>
      </x:c>
      <x:c r="O225" s="69" t="n">
        <x:v>3</x:v>
      </x:c>
      <x:c r="P225" s="69" t="str">
        <x:v>scripts/build_trace_net_engineering_engram_self_rag_critic_v1.py; scripts/check_trace_net_engineering_engram_self_rag_critic_v1.py; tests/unit/test_trace_net_engineering_engram_self_rag_critic_v1.py; docs/trace_net_canonical_runtime_map_v1_README.md; tests/unit/test_trace_net_canonical_runtime_map_v1.py; tiff/trace_net_canonical_runtime_map_v1.py</x:v>
      </x:c>
      <x:c r="Q225" s="71" t="n">
        <x:v>0.96</x:v>
      </x:c>
      <x:c r="R225" s="69" t="str">
        <x:v>cross-cutting validation/reliability</x:v>
      </x:c>
      <x:c r="S225" s="69" t="str">
        <x:v>Implements a runtime gate, critic, hardener, or evidence sufficiency check.</x:v>
      </x:c>
      <x:c r="T225" s="69" t="str">
        <x:v>Preserve gating semantics and old import path until focused tests pass.</x:v>
      </x:c>
      <x:c r="U225" s="69" t="str"/>
      <x:c r="V225" s="69" t="str">
        <x:v>TRACE_NET_ENGINEERING_ENGRAM_SELF_RAG_CRITIC_BUILT, TRACE_NET_ENGINEERING_ENGRAM_SELF_RAG_CRITIC_CHECKED</x:v>
      </x:c>
      <x:c r="W225" s="69" t="str"/>
      <x:c r="X225" s="72" t="n">
        <x:v>19311</x:v>
      </x:c>
      <x:c r="Y225" s="70" t="b">
        <x:v>1</x:v>
      </x:c>
      <x:c r="Z225" s="69" t="str">
        <x:v>Compatibility required</x:v>
      </x:c>
      <x:c r="AA225" s="69" t="str">
        <x:v>https://github.com/jwild2027/heico-ai-internship-summer-2026/blob/srv/tiff/trace_net_engineering_engram_self_rag_critic_v1.py</x:v>
      </x:c>
      <x:c r="AB225" s="69" t="str">
        <x:v>ingestion &lt;= path:tiff; embeddings &lt;= string:qdrant; retrieval &lt;= string:opensearch, string:retriev; brain_engram &lt;= path:engram, string:engram, environment:engram; context &lt;= string:proof_context, string:source_trace; validation &lt;= path:critic, path:self_rag, symbol:critic, symbol:self_rag, string:crag, string:critic, string:fallback, string:self_rag</x:v>
      </x:c>
    </x:row>
    <x:row r="226">
      <x:c r="A226" s="68" t="n">
        <x:v>225</x:v>
      </x:c>
      <x:c r="B226" s="69" t="str">
        <x:v>tiff/trace_net_engineering_engram_unified_runtime_gate_v1.py</x:v>
      </x:c>
      <x:c r="C226" s="69" t="str">
        <x:v>trace_net_engineering_engram_unified_runtime_gate_v1.py</x:v>
      </x:c>
      <x:c r="D226" s="69" t="str">
        <x:v>operations</x:v>
      </x:c>
      <x:c r="E226" s="69" t="str">
        <x:v>brain_engram</x:v>
      </x:c>
      <x:c r="F226" s="69" t="str">
        <x:v>engram</x:v>
      </x:c>
      <x:c r="G226" s="69" t="str">
        <x:v>src/trace_net/engram/</x:v>
      </x:c>
      <x:c r="H226" s="69" t="str">
        <x:v>src/trace_net/engram/trace_net_engineering_engram_unified_runtime_gate_v1.py</x:v>
      </x:c>
      <x:c r="I226" s="69" t="str">
        <x:v>runtime orchestration module</x:v>
      </x:c>
      <x:c r="J226" s="69" t="str">
        <x:v>MOVE_WITH_IMPORT_UPDATES_AND_COMPATIBILITY_WRAPPER</x:v>
      </x:c>
      <x:c r="K226" s="70" t="b">
        <x:v>1</x:v>
      </x:c>
      <x:c r="L226" s="70" t="b">
        <x:v>0</x:v>
      </x:c>
      <x:c r="M226" s="70" t="b">
        <x:v>1</x:v>
      </x:c>
      <x:c r="N226" s="69" t="n">
        <x:v>3</x:v>
      </x:c>
      <x:c r="O226" s="69" t="n">
        <x:v>3</x:v>
      </x:c>
      <x:c r="P226" s="69" t="str">
        <x:v>scripts/build_trace_net_engineering_engram_unified_runtime_gate_v1.py; scripts/check_trace_net_engineering_engram_unified_runtime_gate_v1.py; tests/unit/test_trace_net_engineering_engram_unified_runtime_gate_v1.py; docs/trace_net_canonical_runtime_map_v1_README.md; tests/unit/test_trace_net_canonical_runtime_map_v1.py; tiff/trace_net_canonical_runtime_map_v1.py</x:v>
      </x:c>
      <x:c r="Q226" s="71" t="n">
        <x:v>0.96</x:v>
      </x:c>
      <x:c r="R226" s="69" t="str">
        <x:v>engram/memory naming</x:v>
      </x:c>
      <x:c r="S226" s="69" t="str">
        <x:v>Runtime/orchestrator implementation is imported or protected.</x:v>
      </x:c>
      <x:c r="T226" s="69" t="str">
        <x:v>Preserve CLI, environment variables, and runtime chain during move.</x:v>
      </x:c>
      <x:c r="U226" s="69" t="str"/>
      <x:c r="V226" s="69" t="str">
        <x:v>TRACE_NET_ENGINEERING_ENGRAM_UNIFIED_RUNTIME_GATE_BUILT, TRACE_NET_ENGINEERING_ENGRAM_UNIFIED_RUNTIME_GATE_CHECKED</x:v>
      </x:c>
      <x:c r="W226" s="69" t="str"/>
      <x:c r="X226" s="72" t="n">
        <x:v>23821</x:v>
      </x:c>
      <x:c r="Y226" s="70" t="b">
        <x:v>1</x:v>
      </x:c>
      <x:c r="Z226" s="69" t="str">
        <x:v>Compatibility required</x:v>
      </x:c>
      <x:c r="AA226" s="69" t="str">
        <x:v>https://github.com/jwild2027/heico-ai-internship-summer-2026/blob/srv/tiff/trace_net_engineering_engram_unified_runtime_gate_v1.py</x:v>
      </x:c>
      <x:c r="AB226" s="69" t="str">
        <x:v>ingestion &lt;= path:tiff; ocr &lt;= string:ocr; visual &lt;= string:visual; tables &lt;= string:table; graph &lt;= symbol:graph, string:graph, string:relationship; embeddings &lt;= string:qdrant</x:v>
      </x:c>
    </x:row>
    <x:row r="227">
      <x:c r="A227" s="68" t="n">
        <x:v>226</x:v>
      </x:c>
      <x:c r="B227" s="69" t="str">
        <x:v>tiff/trace_net_engineering_engram_vector_loader_v1.py</x:v>
      </x:c>
      <x:c r="C227" s="69" t="str">
        <x:v>trace_net_engineering_engram_vector_loader_v1.py</x:v>
      </x:c>
      <x:c r="D227" s="69" t="str">
        <x:v>brain_engram</x:v>
      </x:c>
      <x:c r="E227" s="69" t="str">
        <x:v>operations</x:v>
      </x:c>
      <x:c r="F227" s="69" t="str">
        <x:v>engram</x:v>
      </x:c>
      <x:c r="G227" s="69" t="str">
        <x:v>src/trace_net/engram/</x:v>
      </x:c>
      <x:c r="H227" s="69" t="str">
        <x:v>src/trace_net/engram/trace_net_engineering_engram_vector_loader_v1.py</x:v>
      </x:c>
      <x:c r="I227" s="69" t="str">
        <x:v>data/storage integration module</x:v>
      </x:c>
      <x:c r="J227" s="69" t="str">
        <x:v>MOVE_WITH_IMPORT_UPDATES_AND_COMPATIBILITY_WRAPPER</x:v>
      </x:c>
      <x:c r="K227" s="70" t="b">
        <x:v>1</x:v>
      </x:c>
      <x:c r="L227" s="70" t="b">
        <x:v>0</x:v>
      </x:c>
      <x:c r="M227" s="70" t="b">
        <x:v>1</x:v>
      </x:c>
      <x:c r="N227" s="69" t="n">
        <x:v>3</x:v>
      </x:c>
      <x:c r="O227" s="69" t="n">
        <x:v>0</x:v>
      </x:c>
      <x:c r="P227" s="69" t="str">
        <x:v>scripts/build_trace_net_engineering_engram_vector_loader_v1.py; scripts/check_trace_net_engineering_engram_vector_loader_v1.py; tests/unit/test_trace_net_engineering_engram_vector_loader_v1.py</x:v>
      </x:c>
      <x:c r="Q227" s="71" t="n">
        <x:v>0.95</x:v>
      </x:c>
      <x:c r="R227" s="69" t="str">
        <x:v>engram/memory naming</x:v>
      </x:c>
      <x:c r="S227" s="69" t="str">
        <x:v>Loader/writeback logic is imported by active scripts or tests.</x:v>
      </x:c>
      <x:c r="T227" s="69" t="str">
        <x:v>Preserve lineage, dry-run defaults, and source-truth mutation gates.</x:v>
      </x:c>
      <x:c r="U227" s="69" t="str"/>
      <x:c r="V227" s="69" t="str">
        <x:v>TRACE_NET_ENGINEERING_ENGRAM_VECTOR_LOADER_BUILT, TRACE_NET_ENGINEERING_ENGRAM_VECTOR_LOADER_CHECKED</x:v>
      </x:c>
      <x:c r="W227" s="69" t="str"/>
      <x:c r="X227" s="72" t="n">
        <x:v>17752</x:v>
      </x:c>
      <x:c r="Y227" s="70" t="b">
        <x:v>1</x:v>
      </x:c>
      <x:c r="Z227" s="69" t="str">
        <x:v>Compatibility required</x:v>
      </x:c>
      <x:c r="AA227" s="69" t="str">
        <x:v>https://github.com/jwild2027/heico-ai-internship-summer-2026/blob/srv/tiff/trace_net_engineering_engram_vector_loader_v1.py</x:v>
      </x:c>
      <x:c r="AB227" s="69" t="str">
        <x:v>shared &lt;= symbol:identifier, string:contract; ingestion &lt;= path:tiff, string:convert; tables &lt;= symbol:table, string:table; embeddings &lt;= symbol:qdrant, string:embedding, string:qdrant; retrieval &lt;= string:opensearch, string:retriev; brain_engram &lt;= path:engram, symbol:memory_atom, symbol:memory_layer, string:critic_memory, string:engram, string:episodic_memory, string:memory_atom, environment:engram</x:v>
      </x:c>
    </x:row>
    <x:row r="228">
      <x:c r="A228" s="68" t="n">
        <x:v>227</x:v>
      </x:c>
      <x:c r="B228" s="69" t="str">
        <x:v>tiff/trace_net_engineering_engram_vector_retriever_v1.py</x:v>
      </x:c>
      <x:c r="C228" s="69" t="str">
        <x:v>trace_net_engineering_engram_vector_retriever_v1.py</x:v>
      </x:c>
      <x:c r="D228" s="69" t="str">
        <x:v>retrieval</x:v>
      </x:c>
      <x:c r="E228" s="69" t="str">
        <x:v>brain_engram, operations</x:v>
      </x:c>
      <x:c r="F228" s="69" t="str">
        <x:v>engram</x:v>
      </x:c>
      <x:c r="G228" s="69" t="str">
        <x:v>src/trace_net/engram/</x:v>
      </x:c>
      <x:c r="H228" s="69" t="str">
        <x:v>src/trace_net/engram/trace_net_engineering_engram_vector_retriever_v1.py</x:v>
      </x:c>
      <x:c r="I228" s="69" t="str">
        <x:v>active library module</x:v>
      </x:c>
      <x:c r="J228" s="69" t="str">
        <x:v>MOVE_WITH_IMPORT_UPDATES_AND_COMPATIBILITY_WRAPPER</x:v>
      </x:c>
      <x:c r="K228" s="70" t="b">
        <x:v>1</x:v>
      </x:c>
      <x:c r="L228" s="70" t="b">
        <x:v>0</x:v>
      </x:c>
      <x:c r="M228" s="70" t="b">
        <x:v>1</x:v>
      </x:c>
      <x:c r="N228" s="69" t="n">
        <x:v>3</x:v>
      </x:c>
      <x:c r="O228" s="69" t="n">
        <x:v>0</x:v>
      </x:c>
      <x:c r="P228" s="69" t="str">
        <x:v>scripts/build_trace_net_engineering_engram_vector_retriever_v1.py; scripts/check_trace_net_engineering_engram_vector_retriever_v1.py; tests/unit/test_trace_net_engineering_engram_vector_retriever_v1.py</x:v>
      </x:c>
      <x:c r="Q228" s="71" t="n">
        <x:v>0.95</x:v>
      </x:c>
      <x:c r="R228" s="69" t="str">
        <x:v>engram/memory naming</x:v>
      </x:c>
      <x:c r="S228" s="69" t="str">
        <x:v>Primary implementation belongs to the engram stage based on filename, imports, and inventory evidence.</x:v>
      </x:c>
      <x:c r="T228" s="69" t="str">
        <x:v>Update imports and retain the old tiff module as a wrapper when callers exist.</x:v>
      </x:c>
      <x:c r="U228" s="69" t="str"/>
      <x:c r="V228" s="69" t="str">
        <x:v>TRACE_NET_ENGINEERING_ENGRAM_VECTOR_RETRIEVER_BUILT, TRACE_NET_ENGINEERING_ENGRAM_VECTOR_RETRIEVER_CHECKED</x:v>
      </x:c>
      <x:c r="W228" s="69" t="str"/>
      <x:c r="X228" s="72" t="n">
        <x:v>21111</x:v>
      </x:c>
      <x:c r="Y228" s="70" t="b">
        <x:v>1</x:v>
      </x:c>
      <x:c r="Z228" s="69" t="str">
        <x:v>Compatibility required</x:v>
      </x:c>
      <x:c r="AA228" s="69" t="str">
        <x:v>https://github.com/jwild2027/heico-ai-internship-summer-2026/blob/srv/tiff/trace_net_engineering_engram_vector_retriever_v1.py</x:v>
      </x:c>
      <x:c r="AB228" s="69" t="str">
        <x:v>shared &lt;= string:contract; ingestion &lt;= path:tiff; ocr &lt;= string:ocr; visual &lt;= string:visual; tables &lt;= symbol:table; embeddings &lt;= symbol:qdrant, string:embedding, string:qdrant</x:v>
      </x:c>
    </x:row>
    <x:row r="229">
      <x:c r="A229" s="68" t="n">
        <x:v>228</x:v>
      </x:c>
      <x:c r="B229" s="69" t="str">
        <x:v>tiff/trace_net_engineering_gemma_draft_adapter_v1.py</x:v>
      </x:c>
      <x:c r="C229" s="69" t="str">
        <x:v>trace_net_engineering_gemma_draft_adapter_v1.py</x:v>
      </x:c>
      <x:c r="D229" s="69" t="str">
        <x:v>llm_writing</x:v>
      </x:c>
      <x:c r="E229" s="69" t="str">
        <x:v>ingestion, serving</x:v>
      </x:c>
      <x:c r="F229" s="69" t="str">
        <x:v>writing</x:v>
      </x:c>
      <x:c r="G229" s="69" t="str">
        <x:v>src/trace_net/writing/</x:v>
      </x:c>
      <x:c r="H229" s="69" t="str">
        <x:v>src/trace_net/writing/trace_net_engineering_gemma_draft_adapter_v1.py</x:v>
      </x:c>
      <x:c r="I229" s="69" t="str">
        <x:v>active library module</x:v>
      </x:c>
      <x:c r="J229" s="69" t="str">
        <x:v>MOVE_WITH_PROTECTED_COMPATIBILITY_WRAPPER</x:v>
      </x:c>
      <x:c r="K229" s="70" t="b">
        <x:v>1</x:v>
      </x:c>
      <x:c r="L229" s="70" t="b">
        <x:v>1</x:v>
      </x:c>
      <x:c r="M229" s="70" t="b">
        <x:v>1</x:v>
      </x:c>
      <x:c r="N229" s="69" t="n">
        <x:v>4</x:v>
      </x:c>
      <x:c r="O229" s="69" t="n">
        <x:v>0</x:v>
      </x:c>
      <x:c r="P229" s="69" t="str">
        <x:v>scripts/build_trace_net_engineering_gemma_draft_adapter_v1.py; scripts/check_trace_net_engineering_gemma_draft_adapter_v1_quality.py; tests/unit/test_trace_net_engineering_gemma_draft_adapter_v1.py; tests/unit/test_trace_net_engineering_gemma_draft_adapter_v1_quality.py</x:v>
      </x:c>
      <x:c r="Q229" s="71" t="n">
        <x:v>0.95</x:v>
      </x:c>
      <x:c r="R229" s="69" t="str">
        <x:v>answer/writer naming</x:v>
      </x:c>
      <x:c r="S229" s="69" t="str">
        <x:v>Primary implementation belongs to the writing stage based on filename, imports, and inventory evidence.</x:v>
      </x:c>
      <x:c r="T229" s="69" t="str">
        <x:v>Update imports and retain the old tiff module as a wrapper when callers exist.</x:v>
      </x:c>
      <x:c r="U229" s="69" t="str">
        <x:v>11434</x:v>
      </x:c>
      <x:c r="V229" s="69" t="str"/>
      <x:c r="W229" s="69" t="str"/>
      <x:c r="X229" s="72" t="n">
        <x:v>26087</x:v>
      </x:c>
      <x:c r="Y229" s="70" t="b">
        <x:v>1</x:v>
      </x:c>
      <x:c r="Z229" s="69" t="str">
        <x:v>Protected runtime</x:v>
      </x:c>
      <x:c r="AA229" s="69" t="str">
        <x:v>https://github.com/jwild2027/heico-ai-internship-summer-2026/blob/srv/tiff/trace_net_engineering_gemma_draft_adapter_v1.py</x:v>
      </x:c>
      <x:c r="AB229" s="69" t="str">
        <x:v>shared &lt;= symbol:contract, string:contract; ingestion &lt;= path:tiff, string:convert; embeddings &lt;= string:qdrant; retrieval &lt;= string:opensearch, string:retriev; llm_writing &lt;= path:gemma, symbol:gemma, string:final_answer, string:gemma; validation &lt;= string:self_rag</x:v>
      </x:c>
    </x:row>
    <x:row r="230">
      <x:c r="A230" s="68" t="n">
        <x:v>229</x:v>
      </x:c>
      <x:c r="B230" s="69" t="str">
        <x:v>tiff/trace_net_engineering_gemma_draft_retry_prompt_v1.py</x:v>
      </x:c>
      <x:c r="C230" s="69" t="str">
        <x:v>trace_net_engineering_gemma_draft_retry_prompt_v1.py</x:v>
      </x:c>
      <x:c r="D230" s="69" t="str">
        <x:v>llm_writing</x:v>
      </x:c>
      <x:c r="E230" s="69" t="str">
        <x:v>serving</x:v>
      </x:c>
      <x:c r="F230" s="69" t="str">
        <x:v>writing</x:v>
      </x:c>
      <x:c r="G230" s="69" t="str">
        <x:v>src/trace_net/writing/</x:v>
      </x:c>
      <x:c r="H230" s="69" t="str">
        <x:v>src/trace_net/writing/trace_net_engineering_gemma_draft_retry_prompt_v1.py</x:v>
      </x:c>
      <x:c r="I230" s="69" t="str">
        <x:v>active library module</x:v>
      </x:c>
      <x:c r="J230" s="69" t="str">
        <x:v>MOVE_WITH_PROTECTED_COMPATIBILITY_WRAPPER</x:v>
      </x:c>
      <x:c r="K230" s="70" t="b">
        <x:v>1</x:v>
      </x:c>
      <x:c r="L230" s="70" t="b">
        <x:v>1</x:v>
      </x:c>
      <x:c r="M230" s="70" t="b">
        <x:v>1</x:v>
      </x:c>
      <x:c r="N230" s="69" t="n">
        <x:v>4</x:v>
      </x:c>
      <x:c r="O230" s="69" t="n">
        <x:v>0</x:v>
      </x:c>
      <x:c r="P230" s="69" t="str">
        <x:v>scripts/build_trace_net_engineering_gemma_draft_retry_prompt_v1.py; scripts/check_trace_net_engineering_gemma_draft_retry_prompt_v1_quality.py; tests/unit/test_trace_net_engineering_gemma_draft_retry_prompt_v1.py; tests/unit/test_trace_net_engineering_gemma_draft_retry_prompt_v1_quality.py</x:v>
      </x:c>
      <x:c r="Q230" s="71" t="n">
        <x:v>0.95</x:v>
      </x:c>
      <x:c r="R230" s="69" t="str">
        <x:v>answer/writer naming</x:v>
      </x:c>
      <x:c r="S230" s="69" t="str">
        <x:v>Primary implementation belongs to the writing stage based on filename, imports, and inventory evidence.</x:v>
      </x:c>
      <x:c r="T230" s="69" t="str">
        <x:v>Update imports and retain the old tiff module as a wrapper when callers exist.</x:v>
      </x:c>
      <x:c r="U230" s="69" t="str">
        <x:v>11434</x:v>
      </x:c>
      <x:c r="V230" s="69" t="str"/>
      <x:c r="W230" s="69" t="str"/>
      <x:c r="X230" s="72" t="n">
        <x:v>35654</x:v>
      </x:c>
      <x:c r="Y230" s="70" t="b">
        <x:v>1</x:v>
      </x:c>
      <x:c r="Z230" s="69" t="str">
        <x:v>Protected runtime</x:v>
      </x:c>
      <x:c r="AA230" s="69" t="str">
        <x:v>https://github.com/jwild2027/heico-ai-internship-summer-2026/blob/srv/tiff/trace_net_engineering_gemma_draft_retry_prompt_v1.py</x:v>
      </x:c>
      <x:c r="AB230" s="69" t="str">
        <x:v>shared &lt;= symbol:contract, string:contract; ingestion &lt;= path:tiff; embeddings &lt;= string:qdrant; retrieval &lt;= string:opensearch, string:retriev; llm_writing &lt;= path:gemma, symbol:gemma, string:final_answer, string:gemma; serving &lt;= symbol:endpoint, string:api, string:endpoint, string:http</x:v>
      </x:c>
    </x:row>
    <x:row r="231">
      <x:c r="A231" s="68" t="n">
        <x:v>230</x:v>
      </x:c>
      <x:c r="B231" s="69" t="str">
        <x:v>tiff/trace_net_engineering_gemma_draft_runner_v1.py</x:v>
      </x:c>
      <x:c r="C231" s="69" t="str">
        <x:v>trace_net_engineering_gemma_draft_runner_v1.py</x:v>
      </x:c>
      <x:c r="D231" s="69" t="str">
        <x:v>llm_writing</x:v>
      </x:c>
      <x:c r="E231" s="69" t="str">
        <x:v>benchmarks</x:v>
      </x:c>
      <x:c r="F231" s="69" t="str">
        <x:v>writing</x:v>
      </x:c>
      <x:c r="G231" s="69" t="str">
        <x:v>src/trace_net/writing/</x:v>
      </x:c>
      <x:c r="H231" s="69" t="str">
        <x:v>src/trace_net/writing/trace_net_engineering_gemma_draft_runner_v1.py</x:v>
      </x:c>
      <x:c r="I231" s="69" t="str">
        <x:v>active library module</x:v>
      </x:c>
      <x:c r="J231" s="69" t="str">
        <x:v>MOVE_WITH_IMPORT_UPDATES_AND_COMPATIBILITY_WRAPPER</x:v>
      </x:c>
      <x:c r="K231" s="70" t="b">
        <x:v>1</x:v>
      </x:c>
      <x:c r="L231" s="70" t="b">
        <x:v>0</x:v>
      </x:c>
      <x:c r="M231" s="70" t="b">
        <x:v>1</x:v>
      </x:c>
      <x:c r="N231" s="69" t="n">
        <x:v>4</x:v>
      </x:c>
      <x:c r="O231" s="69" t="n">
        <x:v>0</x:v>
      </x:c>
      <x:c r="P231" s="69" t="str">
        <x:v>scripts/build_trace_net_engineering_gemma_draft_runner_v1.py; scripts/check_trace_net_engineering_gemma_draft_runner_v1_quality.py; tests/unit/test_trace_net_engineering_gemma_draft_runner_v1.py; tests/unit/test_trace_net_engineering_gemma_draft_runner_v1_quality.py</x:v>
      </x:c>
      <x:c r="Q231" s="71" t="n">
        <x:v>0.95</x:v>
      </x:c>
      <x:c r="R231" s="69" t="str">
        <x:v>answer/writer naming</x:v>
      </x:c>
      <x:c r="S231" s="69" t="str">
        <x:v>Primary implementation belongs to the writing stage based on filename, imports, and inventory evidence.</x:v>
      </x:c>
      <x:c r="T231" s="69" t="str">
        <x:v>Update imports and retain the old tiff module as a wrapper when callers exist.</x:v>
      </x:c>
      <x:c r="U231" s="69" t="str"/>
      <x:c r="V231" s="69" t="str"/>
      <x:c r="W231" s="69" t="str"/>
      <x:c r="X231" s="72" t="n">
        <x:v>22971</x:v>
      </x:c>
      <x:c r="Y231" s="70" t="b">
        <x:v>1</x:v>
      </x:c>
      <x:c r="Z231" s="69" t="str">
        <x:v>Compatibility required</x:v>
      </x:c>
      <x:c r="AA231" s="69" t="str">
        <x:v>https://github.com/jwild2027/heico-ai-internship-summer-2026/blob/srv/tiff/trace_net_engineering_gemma_draft_runner_v1.py</x:v>
      </x:c>
      <x:c r="AB231" s="69" t="str">
        <x:v>shared &lt;= string:contract; ingestion &lt;= path:tiff; embeddings &lt;= string:qdrant; retrieval &lt;= string:opensearch, string:retriev; llm_writing &lt;= path:gemma, symbol:gemma, string:final_answer, string:gemma; serving &lt;= string:api, string:endpoint</x:v>
      </x:c>
    </x:row>
    <x:row r="232">
      <x:c r="A232" s="68" t="n">
        <x:v>231</x:v>
      </x:c>
      <x:c r="B232" s="69" t="str">
        <x:v>tiff/trace_net_engineering_intent_answer_composer_v1.py</x:v>
      </x:c>
      <x:c r="C232" s="69" t="str">
        <x:v>trace_net_engineering_intent_answer_composer_v1.py</x:v>
      </x:c>
      <x:c r="D232" s="69" t="str">
        <x:v>context</x:v>
      </x:c>
      <x:c r="E232" s="69" t="str">
        <x:v>visual, ingestion, ocr, validation</x:v>
      </x:c>
      <x:c r="F232" s="69" t="str">
        <x:v>writing</x:v>
      </x:c>
      <x:c r="G232" s="69" t="str">
        <x:v>src/trace_net/writing/</x:v>
      </x:c>
      <x:c r="H232" s="69" t="str">
        <x:v>src/trace_net/writing/trace_net_engineering_intent_answer_composer_v1.py</x:v>
      </x:c>
      <x:c r="I232" s="69" t="str">
        <x:v>active library module</x:v>
      </x:c>
      <x:c r="J232" s="69" t="str">
        <x:v>MOVE_WITH_IMPORT_UPDATES_AND_COMPATIBILITY_WRAPPER</x:v>
      </x:c>
      <x:c r="K232" s="70" t="b">
        <x:v>1</x:v>
      </x:c>
      <x:c r="L232" s="70" t="b">
        <x:v>0</x:v>
      </x:c>
      <x:c r="M232" s="70" t="b">
        <x:v>1</x:v>
      </x:c>
      <x:c r="N232" s="69" t="n">
        <x:v>3</x:v>
      </x:c>
      <x:c r="O232" s="69" t="n">
        <x:v>0</x:v>
      </x:c>
      <x:c r="P232" s="69" t="str">
        <x:v>scripts/build_trace_net_engineering_intent_answer_composer_v1.py; scripts/check_trace_net_engineering_intent_answer_composer_v1.py; tests/unit/test_trace_net_engineering_intent_answer_composer_v1.py</x:v>
      </x:c>
      <x:c r="Q232" s="71" t="n">
        <x:v>0.95</x:v>
      </x:c>
      <x:c r="R232" s="69" t="str">
        <x:v>answer/writer naming</x:v>
      </x:c>
      <x:c r="S232" s="69" t="str">
        <x:v>Primary implementation belongs to the writing stage based on filename, imports, and inventory evidence.</x:v>
      </x:c>
      <x:c r="T232" s="69" t="str">
        <x:v>Update imports and retain the old tiff module as a wrapper when callers exist.</x:v>
      </x:c>
      <x:c r="U232" s="69" t="str"/>
      <x:c r="V232" s="69" t="str">
        <x:v>TRACE_NET_ENGINEERING_INTENT_ANSWER_COMPOSER_BUILT, TRACE_NET_ENGINEERING_INTENT_ANSWER_COMPOSER_QUALITY_CHECKED</x:v>
      </x:c>
      <x:c r="W232" s="69" t="str"/>
      <x:c r="X232" s="72" t="n">
        <x:v>35020</x:v>
      </x:c>
      <x:c r="Y232" s="70" t="b">
        <x:v>1</x:v>
      </x:c>
      <x:c r="Z232" s="69" t="str">
        <x:v>Compatibility required</x:v>
      </x:c>
      <x:c r="AA232" s="69" t="str">
        <x:v>https://github.com/jwild2027/heico-ai-internship-summer-2026/blob/srv/tiff/trace_net_engineering_intent_answer_composer_v1.py</x:v>
      </x:c>
      <x:c r="AB232" s="69" t="str">
        <x:v>shared &lt;= string:contract, string:shared; ingestion &lt;= path:tiff; ocr &lt;= symbol:ocr, string:ocr; visual &lt;= symbol:llava, symbol:visual, string:llava, string:visual; graph &lt;= string:relationship; embeddings &lt;= string:qdrant</x:v>
      </x:c>
    </x:row>
    <x:row r="233">
      <x:c r="A233" s="68" t="n">
        <x:v>232</x:v>
      </x:c>
      <x:c r="B233" s="69" t="str">
        <x:v>tiff/trace_net_engineering_llm_answer_smoke_v1.py</x:v>
      </x:c>
      <x:c r="C233" s="69" t="str">
        <x:v>trace_net_engineering_llm_answer_smoke_v1.py</x:v>
      </x:c>
      <x:c r="D233" s="69" t="str">
        <x:v>benchmarks</x:v>
      </x:c>
      <x:c r="E233" s="69" t="str">
        <x:v>llm_writing, brain_engram</x:v>
      </x:c>
      <x:c r="F233" s="69" t="str">
        <x:v>validation</x:v>
      </x:c>
      <x:c r="G233" s="69" t="str">
        <x:v>src/trace_net/validation/</x:v>
      </x:c>
      <x:c r="H233" s="69" t="str">
        <x:v>src/trace_net/validation/trace_net_engineering_llm_answer_smoke_v1.py</x:v>
      </x:c>
      <x:c r="I233" s="69" t="str">
        <x:v>benchmark implementation module</x:v>
      </x:c>
      <x:c r="J233" s="69" t="str">
        <x:v>MOVE_WITH_IMPORT_UPDATES_AND_COMPATIBILITY_WRAPPER</x:v>
      </x:c>
      <x:c r="K233" s="70" t="b">
        <x:v>1</x:v>
      </x:c>
      <x:c r="L233" s="70" t="b">
        <x:v>1</x:v>
      </x:c>
      <x:c r="M233" s="70" t="b">
        <x:v>1</x:v>
      </x:c>
      <x:c r="N233" s="69" t="n">
        <x:v>7</x:v>
      </x:c>
      <x:c r="O233" s="69" t="n">
        <x:v>9</x:v>
      </x:c>
      <x:c r="P233" s="69" t="str">
        <x:v>scripts/build_trace_net_engineering_llm_answer_smoke_v1.py; scripts/check_trace_net_engineering_llm_answer_smoke_v1.py; tests/unit/test_trace_net_engineering_engram_prompt_injector_reliability_v1.py; tests/unit/test_trace_net_engineering_engram_prompt_injector_v1.py; tests/unit/test_trace_net_engineering_llm_answer_smoke_v1.py; tests/unit/test_trace_net_engineering_llm_scaffold_negation_gate_v1.py; tests/unit/test_trace_net_engineering_llm_smoke_path_trace_v1.py; docs/trace_net_engineering_engram_prompt_reliability_h16c_README.md; docs/trace_net_engineering_llm_scaffold_negation_gate_v1_README.md; docs/trace_net_engineering_llm_smoke_path_trace_v1_README.md; … +6 more</x:v>
      </x:c>
      <x:c r="Q233" s="71" t="n">
        <x:v>0.95</x:v>
      </x:c>
      <x:c r="R233" s="69" t="str">
        <x:v>answer/writer naming</x:v>
      </x:c>
      <x:c r="S233" s="69" t="str">
        <x:v>Substantial benchmark/reliability implementation is imported by script wrappers and tests.</x:v>
      </x:c>
      <x:c r="T233" s="69" t="str">
        <x:v>Update run/check script imports and preserve question/output contracts.</x:v>
      </x:c>
      <x:c r="U233" s="69" t="str">
        <x:v>11434</x:v>
      </x:c>
      <x:c r="V233" s="69" t="str">
        <x:v>TRACE_NET_ENGINEERING_ENGRAM_MEMORY, TRACE_NET_ENGINEERING_LLM_ANSWER_SMOKE_BUILT, TRACE_NET_ENGINEERING_LLM_ANSWER_SMOKE_CHECKED, TRACE_NET_SCAFFOLD</x:v>
      </x:c>
      <x:c r="W233" s="69" t="str"/>
      <x:c r="X233" s="72" t="n">
        <x:v>76175</x:v>
      </x:c>
      <x:c r="Y233" s="70" t="b">
        <x:v>1</x:v>
      </x:c>
      <x:c r="Z233" s="69" t="str">
        <x:v>Protected runtime</x:v>
      </x:c>
      <x:c r="AA233" s="69" t="str">
        <x:v>https://github.com/jwild2027/heico-ai-internship-summer-2026/blob/srv/tiff/trace_net_engineering_llm_answer_smoke_v1.py</x:v>
      </x:c>
      <x:c r="AB233" s="69" t="str">
        <x:v>shared &lt;= symbol:common, string:contract; ingestion &lt;= path:tiff, import:tiff; ocr &lt;= string:ocr; visual &lt;= string:visual; tables &lt;= string:table; retrieval &lt;= string:retriev</x:v>
      </x:c>
    </x:row>
    <x:row r="234">
      <x:c r="A234" s="68" t="n">
        <x:v>233</x:v>
      </x:c>
      <x:c r="B234" s="69" t="str">
        <x:v>tiff/trace_net_engineering_llm_answer_smoke_v1.py.bak_before_restore_from_failed_h27_20260701_140929</x:v>
      </x:c>
      <x:c r="C234" s="69" t="str">
        <x:v>trace_net_engineering_llm_answer_smoke_v1.py.bak_before_restore_from_failed_h27_20260701_140929</x:v>
      </x:c>
      <x:c r="D234" s="69" t="str">
        <x:v>ingestion</x:v>
      </x:c>
      <x:c r="E234" s="69" t="str">
        <x:v>llm_writing, benchmarks</x:v>
      </x:c>
      <x:c r="F234" s="69" t="str">
        <x:v>legacy</x:v>
      </x:c>
      <x:c r="G234" s="69" t="str">
        <x:v>legacy/tiff_backups/</x:v>
      </x:c>
      <x:c r="H234" s="69" t="str">
        <x:v>legacy/tiff_backups/trace_net_engineering_llm_answer_smoke_v1.py.bak_before_restore_from_failed_h27_20260701_140929</x:v>
      </x:c>
      <x:c r="I234" s="69" t="str">
        <x:v>backup snapshot</x:v>
      </x:c>
      <x:c r="J234" s="69" t="str">
        <x:v>LEGACY_ARCHIVE_WITH_GIT_MV</x:v>
      </x:c>
      <x:c r="K234" s="70" t="b">
        <x:v>0</x:v>
      </x:c>
      <x:c r="L234" s="70" t="b">
        <x:v>0</x:v>
      </x:c>
      <x:c r="M234" s="70" t="b">
        <x:v>0</x:v>
      </x:c>
      <x:c r="N234" s="69" t="n">
        <x:v>0</x:v>
      </x:c>
      <x:c r="O234" s="69" t="n">
        <x:v>0</x:v>
      </x:c>
      <x:c r="P234" s="69" t="str"/>
      <x:c r="Q234" s="71" t="n">
        <x:v>1</x:v>
      </x:c>
      <x:c r="R234" s="69" t="str">
        <x:v>backup snapshot</x:v>
      </x:c>
      <x:c r="S234" s="69" t="str">
        <x:v>Timestamped or pre-change backup copy beside the active module.</x:v>
      </x:c>
      <x:c r="T234" s="69" t="str">
        <x:v>Archive only; do not delete. Confirm the non-backup active file exists first.</x:v>
      </x:c>
      <x:c r="U234" s="69" t="str"/>
      <x:c r="V234" s="69" t="str"/>
      <x:c r="W234" s="69" t="str"/>
      <x:c r="X234" s="72" t="n">
        <x:v>70921</x:v>
      </x:c>
      <x:c r="Y234" s="70" t="b">
        <x:v>1</x:v>
      </x:c>
      <x:c r="Z234" s="69" t="str">
        <x:v>Legacy archive</x:v>
      </x:c>
      <x:c r="AA234" s="69" t="str">
        <x:v>https://github.com/jwild2027/heico-ai-internship-summer-2026/blob/srv/tiff/trace_net_engineering_llm_answer_smoke_v1.py.bak_before_restore_from_failed_h27_20260701_140929</x:v>
      </x:c>
      <x:c r="AB234" s="69" t="str">
        <x:v>ingestion &lt;= path:tiff; llm_writing &lt;= path:llm_answer; benchmarks &lt;= path:smoke; referenced_by_count=4</x:v>
      </x:c>
    </x:row>
    <x:row r="235">
      <x:c r="A235" s="68" t="n">
        <x:v>234</x:v>
      </x:c>
      <x:c r="B235" s="69" t="str">
        <x:v>tiff/trace_net_engineering_llm_answer_smoke_v1.py.bak_h16c_incomplete_answer_retry_v1_20260701_095025</x:v>
      </x:c>
      <x:c r="C235" s="69" t="str">
        <x:v>trace_net_engineering_llm_answer_smoke_v1.py.bak_h16c_incomplete_answer_retry_v1_20260701_095025</x:v>
      </x:c>
      <x:c r="D235" s="69" t="str">
        <x:v>ingestion</x:v>
      </x:c>
      <x:c r="E235" s="69" t="str">
        <x:v>llm_writing, benchmarks</x:v>
      </x:c>
      <x:c r="F235" s="69" t="str">
        <x:v>legacy</x:v>
      </x:c>
      <x:c r="G235" s="69" t="str">
        <x:v>legacy/tiff_backups/</x:v>
      </x:c>
      <x:c r="H235" s="69" t="str">
        <x:v>legacy/tiff_backups/trace_net_engineering_llm_answer_smoke_v1.py.bak_h16c_incomplete_answer_retry_v1_20260701_095025</x:v>
      </x:c>
      <x:c r="I235" s="69" t="str">
        <x:v>backup snapshot</x:v>
      </x:c>
      <x:c r="J235" s="69" t="str">
        <x:v>LEGACY_ARCHIVE_WITH_GIT_MV</x:v>
      </x:c>
      <x:c r="K235" s="70" t="b">
        <x:v>0</x:v>
      </x:c>
      <x:c r="L235" s="70" t="b">
        <x:v>0</x:v>
      </x:c>
      <x:c r="M235" s="70" t="b">
        <x:v>0</x:v>
      </x:c>
      <x:c r="N235" s="69" t="n">
        <x:v>0</x:v>
      </x:c>
      <x:c r="O235" s="69" t="n">
        <x:v>0</x:v>
      </x:c>
      <x:c r="P235" s="69" t="str"/>
      <x:c r="Q235" s="71" t="n">
        <x:v>1</x:v>
      </x:c>
      <x:c r="R235" s="69" t="str">
        <x:v>backup snapshot</x:v>
      </x:c>
      <x:c r="S235" s="69" t="str">
        <x:v>Timestamped or pre-change backup copy beside the active module.</x:v>
      </x:c>
      <x:c r="T235" s="69" t="str">
        <x:v>Archive only; do not delete. Confirm the non-backup active file exists first.</x:v>
      </x:c>
      <x:c r="U235" s="69" t="str"/>
      <x:c r="V235" s="69" t="str"/>
      <x:c r="W235" s="69" t="str"/>
      <x:c r="X235" s="72" t="n">
        <x:v>68797</x:v>
      </x:c>
      <x:c r="Y235" s="70" t="b">
        <x:v>1</x:v>
      </x:c>
      <x:c r="Z235" s="69" t="str">
        <x:v>Legacy archive</x:v>
      </x:c>
      <x:c r="AA235" s="69" t="str">
        <x:v>https://github.com/jwild2027/heico-ai-internship-summer-2026/blob/srv/tiff/trace_net_engineering_llm_answer_smoke_v1.py.bak_h16c_incomplete_answer_retry_v1_20260701_095025</x:v>
      </x:c>
      <x:c r="AB235" s="69" t="str">
        <x:v>ingestion &lt;= path:tiff; llm_writing &lt;= path:llm_answer; benchmarks &lt;= path:smoke; referenced_by_count=4</x:v>
      </x:c>
    </x:row>
    <x:row r="236">
      <x:c r="A236" s="68" t="n">
        <x:v>235</x:v>
      </x:c>
      <x:c r="B236" s="69" t="str">
        <x:v>tiff/trace_net_engineering_llm_answer_smoke_v1.py.bak_h16c_repair_v1_20260701_095355</x:v>
      </x:c>
      <x:c r="C236" s="69" t="str">
        <x:v>trace_net_engineering_llm_answer_smoke_v1.py.bak_h16c_repair_v1_20260701_095355</x:v>
      </x:c>
      <x:c r="D236" s="69" t="str">
        <x:v>ingestion</x:v>
      </x:c>
      <x:c r="E236" s="69" t="str">
        <x:v>llm_writing, benchmarks</x:v>
      </x:c>
      <x:c r="F236" s="69" t="str">
        <x:v>legacy</x:v>
      </x:c>
      <x:c r="G236" s="69" t="str">
        <x:v>legacy/tiff_backups/</x:v>
      </x:c>
      <x:c r="H236" s="69" t="str">
        <x:v>legacy/tiff_backups/trace_net_engineering_llm_answer_smoke_v1.py.bak_h16c_repair_v1_20260701_095355</x:v>
      </x:c>
      <x:c r="I236" s="69" t="str">
        <x:v>backup snapshot</x:v>
      </x:c>
      <x:c r="J236" s="69" t="str">
        <x:v>LEGACY_ARCHIVE_WITH_GIT_MV</x:v>
      </x:c>
      <x:c r="K236" s="70" t="b">
        <x:v>0</x:v>
      </x:c>
      <x:c r="L236" s="70" t="b">
        <x:v>0</x:v>
      </x:c>
      <x:c r="M236" s="70" t="b">
        <x:v>0</x:v>
      </x:c>
      <x:c r="N236" s="69" t="n">
        <x:v>0</x:v>
      </x:c>
      <x:c r="O236" s="69" t="n">
        <x:v>0</x:v>
      </x:c>
      <x:c r="P236" s="69" t="str"/>
      <x:c r="Q236" s="71" t="n">
        <x:v>1</x:v>
      </x:c>
      <x:c r="R236" s="69" t="str">
        <x:v>backup snapshot</x:v>
      </x:c>
      <x:c r="S236" s="69" t="str">
        <x:v>Timestamped or pre-change backup copy beside the active module.</x:v>
      </x:c>
      <x:c r="T236" s="69" t="str">
        <x:v>Archive only; do not delete. Confirm the non-backup active file exists first.</x:v>
      </x:c>
      <x:c r="U236" s="69" t="str"/>
      <x:c r="V236" s="69" t="str"/>
      <x:c r="W236" s="69" t="str"/>
      <x:c r="X236" s="72" t="n">
        <x:v>70729</x:v>
      </x:c>
      <x:c r="Y236" s="70" t="b">
        <x:v>1</x:v>
      </x:c>
      <x:c r="Z236" s="69" t="str">
        <x:v>Legacy archive</x:v>
      </x:c>
      <x:c r="AA236" s="69" t="str">
        <x:v>https://github.com/jwild2027/heico-ai-internship-summer-2026/blob/srv/tiff/trace_net_engineering_llm_answer_smoke_v1.py.bak_h16c_repair_v1_20260701_095355</x:v>
      </x:c>
      <x:c r="AB236" s="69" t="str">
        <x:v>ingestion &lt;= path:tiff; llm_writing &lt;= path:llm_answer; benchmarks &lt;= path:smoke; referenced_by_count=4</x:v>
      </x:c>
    </x:row>
    <x:row r="237">
      <x:c r="A237" s="68" t="n">
        <x:v>236</x:v>
      </x:c>
      <x:c r="B237" s="69" t="str">
        <x:v>tiff/trace_net_engineering_llm_answer_smoke_v1.py.bak_h16d_conservative_repair_v1_before_20260701_113444</x:v>
      </x:c>
      <x:c r="C237" s="69" t="str">
        <x:v>trace_net_engineering_llm_answer_smoke_v1.py.bak_h16d_conservative_repair_v1_before_20260701_113444</x:v>
      </x:c>
      <x:c r="D237" s="69" t="str">
        <x:v>ingestion</x:v>
      </x:c>
      <x:c r="E237" s="69" t="str">
        <x:v>llm_writing, benchmarks</x:v>
      </x:c>
      <x:c r="F237" s="69" t="str">
        <x:v>legacy</x:v>
      </x:c>
      <x:c r="G237" s="69" t="str">
        <x:v>legacy/tiff_backups/</x:v>
      </x:c>
      <x:c r="H237" s="69" t="str">
        <x:v>legacy/tiff_backups/trace_net_engineering_llm_answer_smoke_v1.py.bak_h16d_conservative_repair_v1_before_20260701_113444</x:v>
      </x:c>
      <x:c r="I237" s="69" t="str">
        <x:v>backup snapshot</x:v>
      </x:c>
      <x:c r="J237" s="69" t="str">
        <x:v>LEGACY_ARCHIVE_WITH_GIT_MV</x:v>
      </x:c>
      <x:c r="K237" s="70" t="b">
        <x:v>0</x:v>
      </x:c>
      <x:c r="L237" s="70" t="b">
        <x:v>0</x:v>
      </x:c>
      <x:c r="M237" s="70" t="b">
        <x:v>0</x:v>
      </x:c>
      <x:c r="N237" s="69" t="n">
        <x:v>0</x:v>
      </x:c>
      <x:c r="O237" s="69" t="n">
        <x:v>0</x:v>
      </x:c>
      <x:c r="P237" s="69" t="str"/>
      <x:c r="Q237" s="71" t="n">
        <x:v>1</x:v>
      </x:c>
      <x:c r="R237" s="69" t="str">
        <x:v>backup snapshot</x:v>
      </x:c>
      <x:c r="S237" s="69" t="str">
        <x:v>Timestamped or pre-change backup copy beside the active module.</x:v>
      </x:c>
      <x:c r="T237" s="69" t="str">
        <x:v>Archive only; do not delete. Confirm the non-backup active file exists first.</x:v>
      </x:c>
      <x:c r="U237" s="69" t="str"/>
      <x:c r="V237" s="69" t="str"/>
      <x:c r="W237" s="69" t="str"/>
      <x:c r="X237" s="72" t="n">
        <x:v>72031</x:v>
      </x:c>
      <x:c r="Y237" s="70" t="b">
        <x:v>1</x:v>
      </x:c>
      <x:c r="Z237" s="69" t="str">
        <x:v>Legacy archive</x:v>
      </x:c>
      <x:c r="AA237" s="69" t="str">
        <x:v>https://github.com/jwild2027/heico-ai-internship-summer-2026/blob/srv/tiff/trace_net_engineering_llm_answer_smoke_v1.py.bak_h16d_conservative_repair_v1_before_20260701_113444</x:v>
      </x:c>
      <x:c r="AB237" s="69" t="str">
        <x:v>ingestion &lt;= path:tiff; llm_writing &lt;= path:llm_answer; benchmarks &lt;= path:smoke; referenced_by_count=4</x:v>
      </x:c>
    </x:row>
    <x:row r="238">
      <x:c r="A238" s="68" t="n">
        <x:v>237</x:v>
      </x:c>
      <x:c r="B238" s="69" t="str">
        <x:v>tiff/trace_net_engineering_llm_answer_smoke_v1.py.bak_h27_engram_overlay_map_20260701_140003</x:v>
      </x:c>
      <x:c r="C238" s="69" t="str">
        <x:v>trace_net_engineering_llm_answer_smoke_v1.py.bak_h27_engram_overlay_map_20260701_140003</x:v>
      </x:c>
      <x:c r="D238" s="69" t="str">
        <x:v>ingestion</x:v>
      </x:c>
      <x:c r="E238" s="69" t="str">
        <x:v>brain_engram, llm_writing, benchmarks</x:v>
      </x:c>
      <x:c r="F238" s="69" t="str">
        <x:v>legacy</x:v>
      </x:c>
      <x:c r="G238" s="69" t="str">
        <x:v>legacy/tiff_backups/</x:v>
      </x:c>
      <x:c r="H238" s="69" t="str">
        <x:v>legacy/tiff_backups/trace_net_engineering_llm_answer_smoke_v1.py.bak_h27_engram_overlay_map_20260701_140003</x:v>
      </x:c>
      <x:c r="I238" s="69" t="str">
        <x:v>backup snapshot</x:v>
      </x:c>
      <x:c r="J238" s="69" t="str">
        <x:v>LEGACY_ARCHIVE_WITH_GIT_MV</x:v>
      </x:c>
      <x:c r="K238" s="70" t="b">
        <x:v>0</x:v>
      </x:c>
      <x:c r="L238" s="70" t="b">
        <x:v>0</x:v>
      </x:c>
      <x:c r="M238" s="70" t="b">
        <x:v>0</x:v>
      </x:c>
      <x:c r="N238" s="69" t="n">
        <x:v>0</x:v>
      </x:c>
      <x:c r="O238" s="69" t="n">
        <x:v>0</x:v>
      </x:c>
      <x:c r="P238" s="69" t="str"/>
      <x:c r="Q238" s="71" t="n">
        <x:v>1</x:v>
      </x:c>
      <x:c r="R238" s="69" t="str">
        <x:v>backup snapshot</x:v>
      </x:c>
      <x:c r="S238" s="69" t="str">
        <x:v>Timestamped or pre-change backup copy beside the active module.</x:v>
      </x:c>
      <x:c r="T238" s="69" t="str">
        <x:v>Archive only; do not delete. Confirm the non-backup active file exists first.</x:v>
      </x:c>
      <x:c r="U238" s="69" t="str"/>
      <x:c r="V238" s="69" t="str"/>
      <x:c r="W238" s="69" t="str"/>
      <x:c r="X238" s="72" t="n">
        <x:v>70333</x:v>
      </x:c>
      <x:c r="Y238" s="70" t="b">
        <x:v>1</x:v>
      </x:c>
      <x:c r="Z238" s="69" t="str">
        <x:v>Legacy archive</x:v>
      </x:c>
      <x:c r="AA238" s="69" t="str">
        <x:v>https://github.com/jwild2027/heico-ai-internship-summer-2026/blob/srv/tiff/trace_net_engineering_llm_answer_smoke_v1.py.bak_h27_engram_overlay_map_20260701_140003</x:v>
      </x:c>
      <x:c r="AB238" s="69" t="str">
        <x:v>ingestion &lt;= path:tiff; brain_engram &lt;= path:engram; llm_writing &lt;= path:llm_answer; benchmarks &lt;= path:smoke; referenced_by_count=5</x:v>
      </x:c>
    </x:row>
    <x:row r="239">
      <x:c r="A239" s="68" t="n">
        <x:v>238</x:v>
      </x:c>
      <x:c r="B239" s="69" t="str">
        <x:v>tiff/trace_net_engineering_llm_answer_smoke_v1.py.bak_h27_engram_overlay_map_v1b_20260701_140201</x:v>
      </x:c>
      <x:c r="C239" s="69" t="str">
        <x:v>trace_net_engineering_llm_answer_smoke_v1.py.bak_h27_engram_overlay_map_v1b_20260701_140201</x:v>
      </x:c>
      <x:c r="D239" s="69" t="str">
        <x:v>ingestion</x:v>
      </x:c>
      <x:c r="E239" s="69" t="str">
        <x:v>brain_engram, llm_writing, benchmarks</x:v>
      </x:c>
      <x:c r="F239" s="69" t="str">
        <x:v>legacy</x:v>
      </x:c>
      <x:c r="G239" s="69" t="str">
        <x:v>legacy/tiff_backups/</x:v>
      </x:c>
      <x:c r="H239" s="69" t="str">
        <x:v>legacy/tiff_backups/trace_net_engineering_llm_answer_smoke_v1.py.bak_h27_engram_overlay_map_v1b_20260701_140201</x:v>
      </x:c>
      <x:c r="I239" s="69" t="str">
        <x:v>backup snapshot</x:v>
      </x:c>
      <x:c r="J239" s="69" t="str">
        <x:v>LEGACY_ARCHIVE_WITH_GIT_MV</x:v>
      </x:c>
      <x:c r="K239" s="70" t="b">
        <x:v>0</x:v>
      </x:c>
      <x:c r="L239" s="70" t="b">
        <x:v>0</x:v>
      </x:c>
      <x:c r="M239" s="70" t="b">
        <x:v>0</x:v>
      </x:c>
      <x:c r="N239" s="69" t="n">
        <x:v>0</x:v>
      </x:c>
      <x:c r="O239" s="69" t="n">
        <x:v>0</x:v>
      </x:c>
      <x:c r="P239" s="69" t="str"/>
      <x:c r="Q239" s="71" t="n">
        <x:v>1</x:v>
      </x:c>
      <x:c r="R239" s="69" t="str">
        <x:v>backup snapshot</x:v>
      </x:c>
      <x:c r="S239" s="69" t="str">
        <x:v>Timestamped or pre-change backup copy beside the active module.</x:v>
      </x:c>
      <x:c r="T239" s="69" t="str">
        <x:v>Archive only; do not delete. Confirm the non-backup active file exists first.</x:v>
      </x:c>
      <x:c r="U239" s="69" t="str"/>
      <x:c r="V239" s="69" t="str"/>
      <x:c r="W239" s="69" t="str"/>
      <x:c r="X239" s="72" t="n">
        <x:v>70333</x:v>
      </x:c>
      <x:c r="Y239" s="70" t="b">
        <x:v>1</x:v>
      </x:c>
      <x:c r="Z239" s="69" t="str">
        <x:v>Legacy archive</x:v>
      </x:c>
      <x:c r="AA239" s="69" t="str">
        <x:v>https://github.com/jwild2027/heico-ai-internship-summer-2026/blob/srv/tiff/trace_net_engineering_llm_answer_smoke_v1.py.bak_h27_engram_overlay_map_v1b_20260701_140201</x:v>
      </x:c>
      <x:c r="AB239" s="69" t="str">
        <x:v>ingestion &lt;= path:tiff; brain_engram &lt;= path:engram; llm_writing &lt;= path:llm_answer; benchmarks &lt;= path:smoke; referenced_by_count=5</x:v>
      </x:c>
    </x:row>
    <x:row r="240">
      <x:c r="A240" s="68" t="n">
        <x:v>239</x:v>
      </x:c>
      <x:c r="B240" s="69" t="str">
        <x:v>tiff/trace_net_engineering_llm_answer_smoke_v1.py.bak_h27_engram_overlay_map_v1b_20260701_140353</x:v>
      </x:c>
      <x:c r="C240" s="69" t="str">
        <x:v>trace_net_engineering_llm_answer_smoke_v1.py.bak_h27_engram_overlay_map_v1b_20260701_140353</x:v>
      </x:c>
      <x:c r="D240" s="69" t="str">
        <x:v>ingestion</x:v>
      </x:c>
      <x:c r="E240" s="69" t="str">
        <x:v>brain_engram, llm_writing, benchmarks</x:v>
      </x:c>
      <x:c r="F240" s="69" t="str">
        <x:v>legacy</x:v>
      </x:c>
      <x:c r="G240" s="69" t="str">
        <x:v>legacy/tiff_backups/</x:v>
      </x:c>
      <x:c r="H240" s="69" t="str">
        <x:v>legacy/tiff_backups/trace_net_engineering_llm_answer_smoke_v1.py.bak_h27_engram_overlay_map_v1b_20260701_140353</x:v>
      </x:c>
      <x:c r="I240" s="69" t="str">
        <x:v>backup snapshot</x:v>
      </x:c>
      <x:c r="J240" s="69" t="str">
        <x:v>LEGACY_ARCHIVE_WITH_GIT_MV</x:v>
      </x:c>
      <x:c r="K240" s="70" t="b">
        <x:v>0</x:v>
      </x:c>
      <x:c r="L240" s="70" t="b">
        <x:v>0</x:v>
      </x:c>
      <x:c r="M240" s="70" t="b">
        <x:v>0</x:v>
      </x:c>
      <x:c r="N240" s="69" t="n">
        <x:v>0</x:v>
      </x:c>
      <x:c r="O240" s="69" t="n">
        <x:v>0</x:v>
      </x:c>
      <x:c r="P240" s="69" t="str"/>
      <x:c r="Q240" s="71" t="n">
        <x:v>1</x:v>
      </x:c>
      <x:c r="R240" s="69" t="str">
        <x:v>backup snapshot</x:v>
      </x:c>
      <x:c r="S240" s="69" t="str">
        <x:v>Timestamped or pre-change backup copy beside the active module.</x:v>
      </x:c>
      <x:c r="T240" s="69" t="str">
        <x:v>Archive only; do not delete. Confirm the non-backup active file exists first.</x:v>
      </x:c>
      <x:c r="U240" s="69" t="str"/>
      <x:c r="V240" s="69" t="str"/>
      <x:c r="W240" s="69" t="str"/>
      <x:c r="X240" s="72" t="n">
        <x:v>70333</x:v>
      </x:c>
      <x:c r="Y240" s="70" t="b">
        <x:v>1</x:v>
      </x:c>
      <x:c r="Z240" s="69" t="str">
        <x:v>Legacy archive</x:v>
      </x:c>
      <x:c r="AA240" s="69" t="str">
        <x:v>https://github.com/jwild2027/heico-ai-internship-summer-2026/blob/srv/tiff/trace_net_engineering_llm_answer_smoke_v1.py.bak_h27_engram_overlay_map_v1b_20260701_140353</x:v>
      </x:c>
      <x:c r="AB240" s="69" t="str">
        <x:v>ingestion &lt;= path:tiff; brain_engram &lt;= path:engram; llm_writing &lt;= path:llm_answer; benchmarks &lt;= path:smoke; referenced_by_count=5</x:v>
      </x:c>
    </x:row>
    <x:row r="241">
      <x:c r="A241" s="68" t="n">
        <x:v>240</x:v>
      </x:c>
      <x:c r="B241" s="69" t="str">
        <x:v>tiff/trace_net_engineering_llm_answer_smoke_v1.py.bak_h27d_engram_overlay_map_20260701_141212</x:v>
      </x:c>
      <x:c r="C241" s="69" t="str">
        <x:v>trace_net_engineering_llm_answer_smoke_v1.py.bak_h27d_engram_overlay_map_20260701_141212</x:v>
      </x:c>
      <x:c r="D241" s="69" t="str">
        <x:v>ingestion</x:v>
      </x:c>
      <x:c r="E241" s="69" t="str">
        <x:v>brain_engram, llm_writing, benchmarks</x:v>
      </x:c>
      <x:c r="F241" s="69" t="str">
        <x:v>legacy</x:v>
      </x:c>
      <x:c r="G241" s="69" t="str">
        <x:v>legacy/tiff_backups/</x:v>
      </x:c>
      <x:c r="H241" s="69" t="str">
        <x:v>legacy/tiff_backups/trace_net_engineering_llm_answer_smoke_v1.py.bak_h27d_engram_overlay_map_20260701_141212</x:v>
      </x:c>
      <x:c r="I241" s="69" t="str">
        <x:v>backup snapshot</x:v>
      </x:c>
      <x:c r="J241" s="69" t="str">
        <x:v>LEGACY_ARCHIVE_WITH_GIT_MV</x:v>
      </x:c>
      <x:c r="K241" s="70" t="b">
        <x:v>0</x:v>
      </x:c>
      <x:c r="L241" s="70" t="b">
        <x:v>0</x:v>
      </x:c>
      <x:c r="M241" s="70" t="b">
        <x:v>0</x:v>
      </x:c>
      <x:c r="N241" s="69" t="n">
        <x:v>0</x:v>
      </x:c>
      <x:c r="O241" s="69" t="n">
        <x:v>0</x:v>
      </x:c>
      <x:c r="P241" s="69" t="str"/>
      <x:c r="Q241" s="71" t="n">
        <x:v>1</x:v>
      </x:c>
      <x:c r="R241" s="69" t="str">
        <x:v>backup snapshot</x:v>
      </x:c>
      <x:c r="S241" s="69" t="str">
        <x:v>Timestamped or pre-change backup copy beside the active module.</x:v>
      </x:c>
      <x:c r="T241" s="69" t="str">
        <x:v>Archive only; do not delete. Confirm the non-backup active file exists first.</x:v>
      </x:c>
      <x:c r="U241" s="69" t="str"/>
      <x:c r="V241" s="69" t="str"/>
      <x:c r="W241" s="69" t="str"/>
      <x:c r="X241" s="72" t="n">
        <x:v>70333</x:v>
      </x:c>
      <x:c r="Y241" s="70" t="b">
        <x:v>1</x:v>
      </x:c>
      <x:c r="Z241" s="69" t="str">
        <x:v>Legacy archive</x:v>
      </x:c>
      <x:c r="AA241" s="69" t="str">
        <x:v>https://github.com/jwild2027/heico-ai-internship-summer-2026/blob/srv/tiff/trace_net_engineering_llm_answer_smoke_v1.py.bak_h27d_engram_overlay_map_20260701_141212</x:v>
      </x:c>
      <x:c r="AB241" s="69" t="str">
        <x:v>ingestion &lt;= path:tiff; brain_engram &lt;= path:engram; llm_writing &lt;= path:llm_answer; benchmarks &lt;= path:smoke; referenced_by_count=5</x:v>
      </x:c>
    </x:row>
    <x:row r="242">
      <x:c r="A242" s="68" t="n">
        <x:v>241</x:v>
      </x:c>
      <x:c r="B242" s="69" t="str">
        <x:v>tiff/trace_net_engineering_llm_answer_smoke_v1.py.bak_h27e_retry_overlay_citation_patch_v1_20260701_143422</x:v>
      </x:c>
      <x:c r="C242" s="69" t="str">
        <x:v>trace_net_engineering_llm_answer_smoke_v1.py.bak_h27e_retry_overlay_citation_patch_v1_20260701_143422</x:v>
      </x:c>
      <x:c r="D242" s="69" t="str">
        <x:v>ingestion</x:v>
      </x:c>
      <x:c r="E242" s="69" t="str">
        <x:v>llm_writing, benchmarks</x:v>
      </x:c>
      <x:c r="F242" s="69" t="str">
        <x:v>legacy</x:v>
      </x:c>
      <x:c r="G242" s="69" t="str">
        <x:v>legacy/tiff_backups/</x:v>
      </x:c>
      <x:c r="H242" s="69" t="str">
        <x:v>legacy/tiff_backups/trace_net_engineering_llm_answer_smoke_v1.py.bak_h27e_retry_overlay_citation_patch_v1_20260701_143422</x:v>
      </x:c>
      <x:c r="I242" s="69" t="str">
        <x:v>backup snapshot</x:v>
      </x:c>
      <x:c r="J242" s="69" t="str">
        <x:v>LEGACY_ARCHIVE_WITH_GIT_MV</x:v>
      </x:c>
      <x:c r="K242" s="70" t="b">
        <x:v>0</x:v>
      </x:c>
      <x:c r="L242" s="70" t="b">
        <x:v>0</x:v>
      </x:c>
      <x:c r="M242" s="70" t="b">
        <x:v>0</x:v>
      </x:c>
      <x:c r="N242" s="69" t="n">
        <x:v>0</x:v>
      </x:c>
      <x:c r="O242" s="69" t="n">
        <x:v>0</x:v>
      </x:c>
      <x:c r="P242" s="69" t="str"/>
      <x:c r="Q242" s="71" t="n">
        <x:v>1</x:v>
      </x:c>
      <x:c r="R242" s="69" t="str">
        <x:v>backup snapshot</x:v>
      </x:c>
      <x:c r="S242" s="69" t="str">
        <x:v>Timestamped or pre-change backup copy beside the active module.</x:v>
      </x:c>
      <x:c r="T242" s="69" t="str">
        <x:v>Archive only; do not delete. Confirm the non-backup active file exists first.</x:v>
      </x:c>
      <x:c r="U242" s="69" t="str"/>
      <x:c r="V242" s="69" t="str"/>
      <x:c r="W242" s="69" t="str"/>
      <x:c r="X242" s="72" t="n">
        <x:v>74889</x:v>
      </x:c>
      <x:c r="Y242" s="70" t="b">
        <x:v>1</x:v>
      </x:c>
      <x:c r="Z242" s="69" t="str">
        <x:v>Legacy archive</x:v>
      </x:c>
      <x:c r="AA242" s="69" t="str">
        <x:v>https://github.com/jwild2027/heico-ai-internship-summer-2026/blob/srv/tiff/trace_net_engineering_llm_answer_smoke_v1.py.bak_h27e_retry_overlay_citation_patch_v1_20260701_143422</x:v>
      </x:c>
      <x:c r="AB242" s="69" t="str">
        <x:v>ingestion &lt;= path:tiff; llm_writing &lt;= path:llm_answer; benchmarks &lt;= path:smoke; referenced_by_count=5</x:v>
      </x:c>
    </x:row>
    <x:row r="243">
      <x:c r="A243" s="68" t="n">
        <x:v>242</x:v>
      </x:c>
      <x:c r="B243" s="69" t="str">
        <x:v>tiff/trace_net_engineering_llm_answer_smoke_v1.py.bak_manual_h27c_extra_paren_repair_20260701_140728</x:v>
      </x:c>
      <x:c r="C243" s="69" t="str">
        <x:v>trace_net_engineering_llm_answer_smoke_v1.py.bak_manual_h27c_extra_paren_repair_20260701_140728</x:v>
      </x:c>
      <x:c r="D243" s="69" t="str">
        <x:v>ingestion</x:v>
      </x:c>
      <x:c r="E243" s="69" t="str">
        <x:v>llm_writing, benchmarks</x:v>
      </x:c>
      <x:c r="F243" s="69" t="str">
        <x:v>legacy</x:v>
      </x:c>
      <x:c r="G243" s="69" t="str">
        <x:v>legacy/tiff_backups/</x:v>
      </x:c>
      <x:c r="H243" s="69" t="str">
        <x:v>legacy/tiff_backups/trace_net_engineering_llm_answer_smoke_v1.py.bak_manual_h27c_extra_paren_repair_20260701_140728</x:v>
      </x:c>
      <x:c r="I243" s="69" t="str">
        <x:v>backup snapshot</x:v>
      </x:c>
      <x:c r="J243" s="69" t="str">
        <x:v>LEGACY_ARCHIVE_WITH_GIT_MV</x:v>
      </x:c>
      <x:c r="K243" s="70" t="b">
        <x:v>0</x:v>
      </x:c>
      <x:c r="L243" s="70" t="b">
        <x:v>0</x:v>
      </x:c>
      <x:c r="M243" s="70" t="b">
        <x:v>0</x:v>
      </x:c>
      <x:c r="N243" s="69" t="n">
        <x:v>0</x:v>
      </x:c>
      <x:c r="O243" s="69" t="n">
        <x:v>0</x:v>
      </x:c>
      <x:c r="P243" s="69" t="str"/>
      <x:c r="Q243" s="71" t="n">
        <x:v>1</x:v>
      </x:c>
      <x:c r="R243" s="69" t="str">
        <x:v>backup snapshot</x:v>
      </x:c>
      <x:c r="S243" s="69" t="str">
        <x:v>Timestamped or pre-change backup copy beside the active module.</x:v>
      </x:c>
      <x:c r="T243" s="69" t="str">
        <x:v>Archive only; do not delete. Confirm the non-backup active file exists first.</x:v>
      </x:c>
      <x:c r="U243" s="69" t="str"/>
      <x:c r="V243" s="69" t="str"/>
      <x:c r="W243" s="69" t="str"/>
      <x:c r="X243" s="72" t="n">
        <x:v>70923</x:v>
      </x:c>
      <x:c r="Y243" s="70" t="b">
        <x:v>1</x:v>
      </x:c>
      <x:c r="Z243" s="69" t="str">
        <x:v>Legacy archive</x:v>
      </x:c>
      <x:c r="AA243" s="69" t="str">
        <x:v>https://github.com/jwild2027/heico-ai-internship-summer-2026/blob/srv/tiff/trace_net_engineering_llm_answer_smoke_v1.py.bak_manual_h27c_extra_paren_repair_20260701_140728</x:v>
      </x:c>
      <x:c r="AB243" s="69" t="str">
        <x:v>ingestion &lt;= path:tiff; llm_writing &lt;= path:llm_answer; benchmarks &lt;= path:smoke; referenced_by_count=4</x:v>
      </x:c>
    </x:row>
    <x:row r="244">
      <x:c r="A244" s="68" t="n">
        <x:v>243</x:v>
      </x:c>
      <x:c r="B244" s="69" t="str">
        <x:v>tiff/trace_net_engineering_llm_answer_smoke_v1.py.bak_manual_h27c_syntax_repair_20260701_140620</x:v>
      </x:c>
      <x:c r="C244" s="69" t="str">
        <x:v>trace_net_engineering_llm_answer_smoke_v1.py.bak_manual_h27c_syntax_repair_20260701_140620</x:v>
      </x:c>
      <x:c r="D244" s="69" t="str">
        <x:v>ingestion</x:v>
      </x:c>
      <x:c r="E244" s="69" t="str">
        <x:v>llm_writing, benchmarks</x:v>
      </x:c>
      <x:c r="F244" s="69" t="str">
        <x:v>legacy</x:v>
      </x:c>
      <x:c r="G244" s="69" t="str">
        <x:v>legacy/tiff_backups/</x:v>
      </x:c>
      <x:c r="H244" s="69" t="str">
        <x:v>legacy/tiff_backups/trace_net_engineering_llm_answer_smoke_v1.py.bak_manual_h27c_syntax_repair_20260701_140620</x:v>
      </x:c>
      <x:c r="I244" s="69" t="str">
        <x:v>backup snapshot</x:v>
      </x:c>
      <x:c r="J244" s="69" t="str">
        <x:v>LEGACY_ARCHIVE_WITH_GIT_MV</x:v>
      </x:c>
      <x:c r="K244" s="70" t="b">
        <x:v>0</x:v>
      </x:c>
      <x:c r="L244" s="70" t="b">
        <x:v>0</x:v>
      </x:c>
      <x:c r="M244" s="70" t="b">
        <x:v>0</x:v>
      </x:c>
      <x:c r="N244" s="69" t="n">
        <x:v>0</x:v>
      </x:c>
      <x:c r="O244" s="69" t="n">
        <x:v>0</x:v>
      </x:c>
      <x:c r="P244" s="69" t="str"/>
      <x:c r="Q244" s="71" t="n">
        <x:v>1</x:v>
      </x:c>
      <x:c r="R244" s="69" t="str">
        <x:v>backup snapshot</x:v>
      </x:c>
      <x:c r="S244" s="69" t="str">
        <x:v>Timestamped or pre-change backup copy beside the active module.</x:v>
      </x:c>
      <x:c r="T244" s="69" t="str">
        <x:v>Archive only; do not delete. Confirm the non-backup active file exists first.</x:v>
      </x:c>
      <x:c r="U244" s="69" t="str"/>
      <x:c r="V244" s="69" t="str"/>
      <x:c r="W244" s="69" t="str"/>
      <x:c r="X244" s="72" t="n">
        <x:v>70986</x:v>
      </x:c>
      <x:c r="Y244" s="70" t="b">
        <x:v>1</x:v>
      </x:c>
      <x:c r="Z244" s="69" t="str">
        <x:v>Legacy archive</x:v>
      </x:c>
      <x:c r="AA244" s="69" t="str">
        <x:v>https://github.com/jwild2027/heico-ai-internship-summer-2026/blob/srv/tiff/trace_net_engineering_llm_answer_smoke_v1.py.bak_manual_h27c_syntax_repair_20260701_140620</x:v>
      </x:c>
      <x:c r="AB244" s="69" t="str">
        <x:v>ingestion &lt;= path:tiff; llm_writing &lt;= path:llm_answer; benchmarks &lt;= path:smoke; referenced_by_count=4</x:v>
      </x:c>
    </x:row>
    <x:row r="245">
      <x:c r="A245" s="68" t="n">
        <x:v>244</x:v>
      </x:c>
      <x:c r="B245" s="69" t="str">
        <x:v>tiff/trace_net_engineering_llm_answer_smoke_v1.py.bak_manual_h27d_final_param_apply_repair_20260701_141520</x:v>
      </x:c>
      <x:c r="C245" s="69" t="str">
        <x:v>trace_net_engineering_llm_answer_smoke_v1.py.bak_manual_h27d_final_param_apply_repair_20260701_141520</x:v>
      </x:c>
      <x:c r="D245" s="69" t="str">
        <x:v>ingestion</x:v>
      </x:c>
      <x:c r="E245" s="69" t="str">
        <x:v>llm_writing, benchmarks</x:v>
      </x:c>
      <x:c r="F245" s="69" t="str">
        <x:v>legacy</x:v>
      </x:c>
      <x:c r="G245" s="69" t="str">
        <x:v>legacy/tiff_backups/</x:v>
      </x:c>
      <x:c r="H245" s="69" t="str">
        <x:v>legacy/tiff_backups/trace_net_engineering_llm_answer_smoke_v1.py.bak_manual_h27d_final_param_apply_repair_20260701_141520</x:v>
      </x:c>
      <x:c r="I245" s="69" t="str">
        <x:v>backup snapshot</x:v>
      </x:c>
      <x:c r="J245" s="69" t="str">
        <x:v>LEGACY_ARCHIVE_WITH_GIT_MV</x:v>
      </x:c>
      <x:c r="K245" s="70" t="b">
        <x:v>0</x:v>
      </x:c>
      <x:c r="L245" s="70" t="b">
        <x:v>0</x:v>
      </x:c>
      <x:c r="M245" s="70" t="b">
        <x:v>0</x:v>
      </x:c>
      <x:c r="N245" s="69" t="n">
        <x:v>0</x:v>
      </x:c>
      <x:c r="O245" s="69" t="n">
        <x:v>0</x:v>
      </x:c>
      <x:c r="P245" s="69" t="str"/>
      <x:c r="Q245" s="71" t="n">
        <x:v>1</x:v>
      </x:c>
      <x:c r="R245" s="69" t="str">
        <x:v>backup snapshot</x:v>
      </x:c>
      <x:c r="S245" s="69" t="str">
        <x:v>Timestamped or pre-change backup copy beside the active module.</x:v>
      </x:c>
      <x:c r="T245" s="69" t="str">
        <x:v>Archive only; do not delete. Confirm the non-backup active file exists first.</x:v>
      </x:c>
      <x:c r="U245" s="69" t="str"/>
      <x:c r="V245" s="69" t="str"/>
      <x:c r="W245" s="69" t="str"/>
      <x:c r="X245" s="72" t="n">
        <x:v>74594</x:v>
      </x:c>
      <x:c r="Y245" s="70" t="b">
        <x:v>1</x:v>
      </x:c>
      <x:c r="Z245" s="69" t="str">
        <x:v>Legacy archive</x:v>
      </x:c>
      <x:c r="AA245" s="69" t="str">
        <x:v>https://github.com/jwild2027/heico-ai-internship-summer-2026/blob/srv/tiff/trace_net_engineering_llm_answer_smoke_v1.py.bak_manual_h27d_final_param_apply_repair_20260701_141520</x:v>
      </x:c>
      <x:c r="AB245" s="69" t="str">
        <x:v>ingestion &lt;= path:tiff; llm_writing &lt;= path:llm_answer; benchmarks &lt;= path:smoke; referenced_by_count=4</x:v>
      </x:c>
    </x:row>
    <x:row r="246">
      <x:c r="A246" s="68" t="n">
        <x:v>245</x:v>
      </x:c>
      <x:c r="B246" s="69" t="str">
        <x:v>tiff/trace_net_engineering_llm_answer_smoke_v1.py.bak_remove_bad_h16c_manifest_guard_20260701_095758</x:v>
      </x:c>
      <x:c r="C246" s="69" t="str">
        <x:v>trace_net_engineering_llm_answer_smoke_v1.py.bak_remove_bad_h16c_manifest_guard_20260701_095758</x:v>
      </x:c>
      <x:c r="D246" s="69" t="str">
        <x:v>ingestion</x:v>
      </x:c>
      <x:c r="E246" s="69" t="str">
        <x:v>llm_writing, benchmarks</x:v>
      </x:c>
      <x:c r="F246" s="69" t="str">
        <x:v>legacy</x:v>
      </x:c>
      <x:c r="G246" s="69" t="str">
        <x:v>legacy/tiff_backups/</x:v>
      </x:c>
      <x:c r="H246" s="69" t="str">
        <x:v>legacy/tiff_backups/trace_net_engineering_llm_answer_smoke_v1.py.bak_remove_bad_h16c_manifest_guard_20260701_095758</x:v>
      </x:c>
      <x:c r="I246" s="69" t="str">
        <x:v>backup snapshot</x:v>
      </x:c>
      <x:c r="J246" s="69" t="str">
        <x:v>LEGACY_ARCHIVE_WITH_GIT_MV</x:v>
      </x:c>
      <x:c r="K246" s="70" t="b">
        <x:v>0</x:v>
      </x:c>
      <x:c r="L246" s="70" t="b">
        <x:v>0</x:v>
      </x:c>
      <x:c r="M246" s="70" t="b">
        <x:v>0</x:v>
      </x:c>
      <x:c r="N246" s="69" t="n">
        <x:v>0</x:v>
      </x:c>
      <x:c r="O246" s="69" t="n">
        <x:v>0</x:v>
      </x:c>
      <x:c r="P246" s="69" t="str"/>
      <x:c r="Q246" s="71" t="n">
        <x:v>1</x:v>
      </x:c>
      <x:c r="R246" s="69" t="str">
        <x:v>backup snapshot</x:v>
      </x:c>
      <x:c r="S246" s="69" t="str">
        <x:v>Timestamped or pre-change backup copy beside the active module.</x:v>
      </x:c>
      <x:c r="T246" s="69" t="str">
        <x:v>Archive only; do not delete. Confirm the non-backup active file exists first.</x:v>
      </x:c>
      <x:c r="U246" s="69" t="str"/>
      <x:c r="V246" s="69" t="str"/>
      <x:c r="W246" s="69" t="str"/>
      <x:c r="X246" s="72" t="n">
        <x:v>72204</x:v>
      </x:c>
      <x:c r="Y246" s="70" t="b">
        <x:v>1</x:v>
      </x:c>
      <x:c r="Z246" s="69" t="str">
        <x:v>Legacy archive</x:v>
      </x:c>
      <x:c r="AA246" s="69" t="str">
        <x:v>https://github.com/jwild2027/heico-ai-internship-summer-2026/blob/srv/tiff/trace_net_engineering_llm_answer_smoke_v1.py.bak_remove_bad_h16c_manifest_guard_20260701_095758</x:v>
      </x:c>
      <x:c r="AB246" s="69" t="str">
        <x:v>ingestion &lt;= path:tiff; llm_writing &lt;= path:llm_answer; benchmarks &lt;= path:smoke; referenced_by_count=4</x:v>
      </x:c>
    </x:row>
    <x:row r="247">
      <x:c r="A247" s="68" t="n">
        <x:v>246</x:v>
      </x:c>
      <x:c r="B247" s="69" t="str">
        <x:v>tiff/trace_net_engineering_query_planner_v1.py</x:v>
      </x:c>
      <x:c r="C247" s="69" t="str">
        <x:v>trace_net_engineering_query_planner_v1.py</x:v>
      </x:c>
      <x:c r="D247" s="69" t="str">
        <x:v>ingestion</x:v>
      </x:c>
      <x:c r="E247" s="69" t="str">
        <x:v>serving, benchmarks, validation, visual</x:v>
      </x:c>
      <x:c r="F247" s="69" t="str">
        <x:v>ingestion</x:v>
      </x:c>
      <x:c r="G247" s="69" t="str">
        <x:v>src/trace_net/ingestion/</x:v>
      </x:c>
      <x:c r="H247" s="69" t="str">
        <x:v>src/trace_net/ingestion/trace_net_engineering_query_planner_v1.py</x:v>
      </x:c>
      <x:c r="I247" s="69" t="str">
        <x:v>active library module</x:v>
      </x:c>
      <x:c r="J247" s="69" t="str">
        <x:v>MOVE_WITH_IMPORT_UPDATES_AND_COMPATIBILITY_WRAPPER</x:v>
      </x:c>
      <x:c r="K247" s="70" t="b">
        <x:v>1</x:v>
      </x:c>
      <x:c r="L247" s="70" t="b">
        <x:v>0</x:v>
      </x:c>
      <x:c r="M247" s="70" t="b">
        <x:v>1</x:v>
      </x:c>
      <x:c r="N247" s="69" t="n">
        <x:v>8</x:v>
      </x:c>
      <x:c r="O247" s="69" t="n">
        <x:v>1</x:v>
      </x:c>
      <x:c r="P247" s="69" t="str">
        <x:v>scripts/build_trace_net_engineering_query_planner_v1.py; scripts/check_trace_net_engineering_query_planner_v1.py; scripts/check_trace_net_engineering_query_planner_v1_quality.py; tests/unit/test_trace_net_engineering_query_planner_v1.py; tests/unit/test_trace_net_engineering_query_planner_v1_quality.py; tiff/trace_net_engineering_answer_runner_v1.py; tiff/trace_net_webui_self_rag_crag_bridge_v1.py; scripts/fix_trace_net_engineering_stage_write_dirs_v1.py</x:v>
      </x:c>
      <x:c r="Q247" s="71" t="n">
        <x:v>0.95</x:v>
      </x:c>
      <x:c r="R247" s="69" t="str">
        <x:v>inventory stage: ingestion</x:v>
      </x:c>
      <x:c r="S247" s="69" t="str">
        <x:v>Primary implementation belongs to the ingestion stage based on filename, imports, and inventory evidence.</x:v>
      </x:c>
      <x:c r="T247" s="69" t="str">
        <x:v>Update imports and retain the old tiff module as a wrapper when callers exist.</x:v>
      </x:c>
      <x:c r="U247" s="69" t="str"/>
      <x:c r="V247" s="69" t="str">
        <x:v>TRACE_NET_ENGINEERING_QUERY_PLANNER_BUILT, TRACE_NET_ENGINEERING_QUERY_PLANNER_QUALITY_CHECKED</x:v>
      </x:c>
      <x:c r="W247" s="69" t="str"/>
      <x:c r="X247" s="72" t="n">
        <x:v>42300</x:v>
      </x:c>
      <x:c r="Y247" s="70" t="b">
        <x:v>1</x:v>
      </x:c>
      <x:c r="Z247" s="69" t="str">
        <x:v>Compatibility required</x:v>
      </x:c>
      <x:c r="AA247" s="69" t="str">
        <x:v>https://github.com/jwild2027/heico-ai-internship-summer-2026/blob/srv/tiff/trace_net_engineering_query_planner_v1.py</x:v>
      </x:c>
      <x:c r="AB247" s="69" t="str">
        <x:v>shared &lt;= symbol:identifier; ingestion &lt;= path:tiff; ocr &lt;= string:ocr; visual &lt;= string:callout, string:diagram, string:image_route, string:visual; tables &lt;= string:ipl, string:table; graph &lt;= string:graph, string:leiden</x:v>
      </x:c>
    </x:row>
    <x:row r="248">
      <x:c r="A248" s="68" t="n">
        <x:v>247</x:v>
      </x:c>
      <x:c r="B248" s="69" t="str">
        <x:v>tiff/trace_net_engineering_question_orchestrator_v1.py</x:v>
      </x:c>
      <x:c r="C248" s="69" t="str">
        <x:v>trace_net_engineering_question_orchestrator_v1.py</x:v>
      </x:c>
      <x:c r="D248" s="69" t="str">
        <x:v>benchmarks</x:v>
      </x:c>
      <x:c r="E248" s="69" t="str">
        <x:v>ingestion</x:v>
      </x:c>
      <x:c r="F248" s="69" t="str">
        <x:v>writing</x:v>
      </x:c>
      <x:c r="G248" s="69" t="str">
        <x:v>src/trace_net/writing/</x:v>
      </x:c>
      <x:c r="H248" s="69" t="str">
        <x:v>src/trace_net/writing/trace_net_engineering_question_orchestrator_v1.py</x:v>
      </x:c>
      <x:c r="I248" s="69" t="str">
        <x:v>runtime orchestration module</x:v>
      </x:c>
      <x:c r="J248" s="69" t="str">
        <x:v>MOVE_WITH_IMPORT_UPDATES_AND_COMPATIBILITY_WRAPPER</x:v>
      </x:c>
      <x:c r="K248" s="70" t="b">
        <x:v>1</x:v>
      </x:c>
      <x:c r="L248" s="70" t="b">
        <x:v>0</x:v>
      </x:c>
      <x:c r="M248" s="70" t="b">
        <x:v>1</x:v>
      </x:c>
      <x:c r="N248" s="69" t="n">
        <x:v>4</x:v>
      </x:c>
      <x:c r="O248" s="69" t="n">
        <x:v>0</x:v>
      </x:c>
      <x:c r="P248" s="69" t="str">
        <x:v>scripts/check_trace_net_engineering_question_orchestrator_v1_quality.py; scripts/run_trace_net_engineering_question_v1.py; tests/unit/test_trace_net_engineering_question_orchestrator_v1.py; tests/unit/test_trace_net_engineering_question_orchestrator_v1_quality.py</x:v>
      </x:c>
      <x:c r="Q248" s="71" t="n">
        <x:v>0.96</x:v>
      </x:c>
      <x:c r="R248" s="69" t="str">
        <x:v>answer/writer naming</x:v>
      </x:c>
      <x:c r="S248" s="69" t="str">
        <x:v>Runtime/orchestrator implementation is imported or protected.</x:v>
      </x:c>
      <x:c r="T248" s="69" t="str">
        <x:v>Preserve CLI, environment variables, and runtime chain during move.</x:v>
      </x:c>
      <x:c r="U248" s="69" t="str"/>
      <x:c r="V248" s="69" t="str"/>
      <x:c r="W248" s="69" t="str"/>
      <x:c r="X248" s="72" t="n">
        <x:v>21707</x:v>
      </x:c>
      <x:c r="Y248" s="70" t="b">
        <x:v>1</x:v>
      </x:c>
      <x:c r="Z248" s="69" t="str">
        <x:v>Compatibility required</x:v>
      </x:c>
      <x:c r="AA248" s="69" t="str">
        <x:v>https://github.com/jwild2027/heico-ai-internship-summer-2026/blob/srv/tiff/trace_net_engineering_question_orchestrator_v1.py</x:v>
      </x:c>
      <x:c r="AB248" s="69" t="str">
        <x:v>shared &lt;= string:contract; ingestion &lt;= path:tiff; embeddings &lt;= string:qdrant; retrieval &lt;= string:opensearch, string:retriev; llm_writing &lt;= string:final_answer, string:gemma; benchmarks &lt;= string:eval, string:question_count</x:v>
      </x:c>
    </x:row>
    <x:row r="249">
      <x:c r="A249" s="68" t="n">
        <x:v>248</x:v>
      </x:c>
      <x:c r="B249" s="69" t="str">
        <x:v>tiff/trace_net_engineering_real_answer_overlay_question_id_aligner_v1.py</x:v>
      </x:c>
      <x:c r="C249" s="69" t="str">
        <x:v>trace_net_engineering_real_answer_overlay_question_id_aligner_v1.py</x:v>
      </x:c>
      <x:c r="D249" s="69" t="str">
        <x:v>ingestion</x:v>
      </x:c>
      <x:c r="E249" s="69" t="str">
        <x:v>validation</x:v>
      </x:c>
      <x:c r="F249" s="69" t="str">
        <x:v>ingestion</x:v>
      </x:c>
      <x:c r="G249" s="69" t="str">
        <x:v>src/trace_net/ingestion/</x:v>
      </x:c>
      <x:c r="H249" s="69" t="str">
        <x:v>src/trace_net/ingestion/trace_net_engineering_real_answer_overlay_question_id_aligner_v1.py</x:v>
      </x:c>
      <x:c r="I249" s="69" t="str">
        <x:v>active library module</x:v>
      </x:c>
      <x:c r="J249" s="69" t="str">
        <x:v>MOVE_WITH_IMPORT_UPDATES_AND_COMPATIBILITY_WRAPPER</x:v>
      </x:c>
      <x:c r="K249" s="70" t="b">
        <x:v>1</x:v>
      </x:c>
      <x:c r="L249" s="70" t="b">
        <x:v>0</x:v>
      </x:c>
      <x:c r="M249" s="70" t="b">
        <x:v>1</x:v>
      </x:c>
      <x:c r="N249" s="69" t="n">
        <x:v>4</x:v>
      </x:c>
      <x:c r="O249" s="69" t="n">
        <x:v>1</x:v>
      </x:c>
      <x:c r="P249" s="69" t="str">
        <x:v>patches/trace_net_real_answer_overlay_qid_aligner_v1/files/scripts/build_trace_net_engineering_real_answer_overlay_question_id_aligner_v1.py; patches/trace_net_real_answer_overlay_qid_aligner_v1/files/tests/unit/test_trace_net_engineering_real_answer_overlay_question_id_aligner_v1.py; scripts/build_trace_net_engineering_real_answer_overlay_question_id_aligner_v1.py; tests/unit/test_trace_net_engineering_real_answer_overlay_question_id_aligner_v1.py; patches/trace_net_real_answer_overlay_qid_aligner_v1/APPLY_ME.py</x:v>
      </x:c>
      <x:c r="Q249" s="71" t="n">
        <x:v>0.95</x:v>
      </x:c>
      <x:c r="R249" s="69" t="str">
        <x:v>inventory stage: ingestion</x:v>
      </x:c>
      <x:c r="S249" s="69" t="str">
        <x:v>Primary implementation belongs to the ingestion stage based on filename, imports, and inventory evidence.</x:v>
      </x:c>
      <x:c r="T249" s="69" t="str">
        <x:v>Update imports and retain the old tiff module as a wrapper when callers exist.</x:v>
      </x:c>
      <x:c r="U249" s="69" t="str"/>
      <x:c r="V249" s="69" t="str"/>
      <x:c r="W249" s="69" t="str"/>
      <x:c r="X249" s="72" t="n">
        <x:v>17240</x:v>
      </x:c>
      <x:c r="Y249" s="70" t="b">
        <x:v>1</x:v>
      </x:c>
      <x:c r="Z249" s="69" t="str">
        <x:v>Compatibility required</x:v>
      </x:c>
      <x:c r="AA249" s="69" t="str">
        <x:v>https://github.com/jwild2027/heico-ai-internship-summer-2026/blob/srv/tiff/trace_net_engineering_real_answer_overlay_question_id_aligner_v1.py</x:v>
      </x:c>
      <x:c r="AB249" s="69" t="str">
        <x:v>shared &lt;= string:common, string:contract, string:shared; ingestion &lt;= path:tiff; ocr &lt;= string:ocr; visual &lt;= string:diagram, string:visual; graph &lt;= string:graph; embeddings &lt;= string:qdrant</x:v>
      </x:c>
    </x:row>
    <x:row r="250">
      <x:c r="A250" s="68" t="n">
        <x:v>249</x:v>
      </x:c>
      <x:c r="B250" s="69" t="str">
        <x:v>tiff/trace_net_engineering_real_answer_smoke_overlay_flag_v1.py</x:v>
      </x:c>
      <x:c r="C250" s="69" t="str">
        <x:v>trace_net_engineering_real_answer_smoke_overlay_flag_v1.py</x:v>
      </x:c>
      <x:c r="D250" s="69" t="str">
        <x:v>benchmarks</x:v>
      </x:c>
      <x:c r="E250" s="69" t="str">
        <x:v>ingestion, context, serving</x:v>
      </x:c>
      <x:c r="F250" s="69" t="str">
        <x:v>validation</x:v>
      </x:c>
      <x:c r="G250" s="69" t="str">
        <x:v>src/trace_net/validation/</x:v>
      </x:c>
      <x:c r="H250" s="69" t="str">
        <x:v>src/trace_net/validation/trace_net_engineering_real_answer_smoke_overlay_flag_v1.py</x:v>
      </x:c>
      <x:c r="I250" s="69" t="str">
        <x:v>benchmark implementation module</x:v>
      </x:c>
      <x:c r="J250" s="69" t="str">
        <x:v>MOVE_WITH_IMPORT_UPDATES_AND_COMPATIBILITY_WRAPPER</x:v>
      </x:c>
      <x:c r="K250" s="70" t="b">
        <x:v>1</x:v>
      </x:c>
      <x:c r="L250" s="70" t="b">
        <x:v>0</x:v>
      </x:c>
      <x:c r="M250" s="70" t="b">
        <x:v>1</x:v>
      </x:c>
      <x:c r="N250" s="69" t="n">
        <x:v>2</x:v>
      </x:c>
      <x:c r="O250" s="69" t="n">
        <x:v>1</x:v>
      </x:c>
      <x:c r="P250" s="69" t="str">
        <x:v>scripts/build_trace_net_engineering_real_answer_smoke_test_v1.py; tests/unit/test_trace_net_engineering_real_answer_smoke_overlay_flag_v1.py; patches/trace_net_real_answer_overlay_flag_v1/APPLY_ME.py</x:v>
      </x:c>
      <x:c r="Q250" s="71" t="n">
        <x:v>0.95</x:v>
      </x:c>
      <x:c r="R250" s="69" t="str">
        <x:v>answer/writer naming</x:v>
      </x:c>
      <x:c r="S250" s="69" t="str">
        <x:v>Substantial benchmark/reliability implementation is imported by script wrappers and tests.</x:v>
      </x:c>
      <x:c r="T250" s="69" t="str">
        <x:v>Update run/check script imports and preserve question/output contracts.</x:v>
      </x:c>
      <x:c r="U250" s="69" t="str"/>
      <x:c r="V250" s="69" t="str"/>
      <x:c r="W250" s="69" t="str"/>
      <x:c r="X250" s="72" t="n">
        <x:v>10331</x:v>
      </x:c>
      <x:c r="Y250" s="70" t="b">
        <x:v>1</x:v>
      </x:c>
      <x:c r="Z250" s="69" t="str">
        <x:v>Compatibility required</x:v>
      </x:c>
      <x:c r="AA250" s="69" t="str">
        <x:v>https://github.com/jwild2027/heico-ai-internship-summer-2026/blob/srv/tiff/trace_net_engineering_real_answer_smoke_overlay_flag_v1.py</x:v>
      </x:c>
      <x:c r="AB250" s="69" t="str">
        <x:v>shared &lt;= string:contract; ingestion &lt;= path:tiff, import:tiff; embeddings &lt;= string:qdrant; retrieval &lt;= string:opensearch; brain_engram &lt;= string:engram; context &lt;= symbol:context_pack, string:context_pack, string:proof_context</x:v>
      </x:c>
    </x:row>
    <x:row r="251">
      <x:c r="A251" s="68" t="n">
        <x:v>250</x:v>
      </x:c>
      <x:c r="B251" s="69" t="str">
        <x:v>tiff/trace_net_engineering_real_answer_smoke_review_v1.py</x:v>
      </x:c>
      <x:c r="C251" s="69" t="str">
        <x:v>trace_net_engineering_real_answer_smoke_review_v1.py</x:v>
      </x:c>
      <x:c r="D251" s="69" t="str">
        <x:v>benchmarks</x:v>
      </x:c>
      <x:c r="E251" s="69" t="str"/>
      <x:c r="F251" s="69" t="str">
        <x:v>validation</x:v>
      </x:c>
      <x:c r="G251" s="69" t="str">
        <x:v>src/trace_net/validation/</x:v>
      </x:c>
      <x:c r="H251" s="69" t="str">
        <x:v>src/trace_net/validation/trace_net_engineering_real_answer_smoke_review_v1.py</x:v>
      </x:c>
      <x:c r="I251" s="69" t="str">
        <x:v>benchmark implementation module</x:v>
      </x:c>
      <x:c r="J251" s="69" t="str">
        <x:v>MOVE_WITH_IMPORT_UPDATES_AND_COMPATIBILITY_WRAPPER</x:v>
      </x:c>
      <x:c r="K251" s="70" t="b">
        <x:v>1</x:v>
      </x:c>
      <x:c r="L251" s="70" t="b">
        <x:v>0</x:v>
      </x:c>
      <x:c r="M251" s="70" t="b">
        <x:v>1</x:v>
      </x:c>
      <x:c r="N251" s="69" t="n">
        <x:v>3</x:v>
      </x:c>
      <x:c r="O251" s="69" t="n">
        <x:v>0</x:v>
      </x:c>
      <x:c r="P251" s="69" t="str">
        <x:v>scripts/build_trace_net_engineering_real_answer_smoke_review_v1.py; scripts/check_trace_net_engineering_real_answer_smoke_review_v1.py; tests/unit/test_trace_net_engineering_real_answer_smoke_review_v1.py</x:v>
      </x:c>
      <x:c r="Q251" s="71" t="n">
        <x:v>0.95</x:v>
      </x:c>
      <x:c r="R251" s="69" t="str">
        <x:v>answer/writer naming</x:v>
      </x:c>
      <x:c r="S251" s="69" t="str">
        <x:v>Substantial benchmark/reliability implementation is imported by script wrappers and tests.</x:v>
      </x:c>
      <x:c r="T251" s="69" t="str">
        <x:v>Update run/check script imports and preserve question/output contracts.</x:v>
      </x:c>
      <x:c r="U251" s="69" t="str"/>
      <x:c r="V251" s="69" t="str">
        <x:v>TRACE_NET_ENGINEERING_REAL_ANSWER_SMOKE_REVIEW_BUILT, TRACE_NET_ENGINEERING_REAL_ANSWER_SMOKE_REVIEW_CHECKED</x:v>
      </x:c>
      <x:c r="W251" s="69" t="str"/>
      <x:c r="X251" s="72" t="n">
        <x:v>20615</x:v>
      </x:c>
      <x:c r="Y251" s="70" t="b">
        <x:v>1</x:v>
      </x:c>
      <x:c r="Z251" s="69" t="str">
        <x:v>Compatibility required</x:v>
      </x:c>
      <x:c r="AA251" s="69" t="str">
        <x:v>https://github.com/jwild2027/heico-ai-internship-summer-2026/blob/srv/tiff/trace_net_engineering_real_answer_smoke_review_v1.py</x:v>
      </x:c>
      <x:c r="AB251" s="69" t="str">
        <x:v>shared &lt;= symbol:common; ingestion &lt;= path:tiff; ocr &lt;= string:ocr; visual &lt;= string:llava, string:visual; retrieval &lt;= string:retriev; context &lt;= string:proof_context, string:source_trace</x:v>
      </x:c>
    </x:row>
    <x:row r="252">
      <x:c r="A252" s="68" t="n">
        <x:v>251</x:v>
      </x:c>
      <x:c r="B252" s="69" t="str">
        <x:v>tiff/trace_net_engineering_real_answer_smoke_test_v1.py</x:v>
      </x:c>
      <x:c r="C252" s="69" t="str">
        <x:v>trace_net_engineering_real_answer_smoke_test_v1.py</x:v>
      </x:c>
      <x:c r="D252" s="69" t="str">
        <x:v>benchmarks</x:v>
      </x:c>
      <x:c r="E252" s="69" t="str">
        <x:v>ingestion</x:v>
      </x:c>
      <x:c r="F252" s="69" t="str">
        <x:v>validation</x:v>
      </x:c>
      <x:c r="G252" s="69" t="str">
        <x:v>src/trace_net/validation/</x:v>
      </x:c>
      <x:c r="H252" s="69" t="str">
        <x:v>src/trace_net/validation/trace_net_engineering_real_answer_smoke_test_v1.py</x:v>
      </x:c>
      <x:c r="I252" s="69" t="str">
        <x:v>benchmark implementation module</x:v>
      </x:c>
      <x:c r="J252" s="69" t="str">
        <x:v>MOVE_WITH_IMPORT_UPDATES_AND_COMPATIBILITY_WRAPPER</x:v>
      </x:c>
      <x:c r="K252" s="70" t="b">
        <x:v>1</x:v>
      </x:c>
      <x:c r="L252" s="70" t="b">
        <x:v>0</x:v>
      </x:c>
      <x:c r="M252" s="70" t="b">
        <x:v>1</x:v>
      </x:c>
      <x:c r="N252" s="69" t="n">
        <x:v>3</x:v>
      </x:c>
      <x:c r="O252" s="69" t="n">
        <x:v>0</x:v>
      </x:c>
      <x:c r="P252" s="69" t="str">
        <x:v>scripts/check_trace_net_engineering_real_answer_smoke_test_v1.py; tests/unit/test_trace_net_engineering_real_answer_smoke_test_v1.py; tiff/trace_net_engineering_real_answer_smoke_overlay_flag_v1.py</x:v>
      </x:c>
      <x:c r="Q252" s="71" t="n">
        <x:v>0.95</x:v>
      </x:c>
      <x:c r="R252" s="69" t="str">
        <x:v>answer/writer naming</x:v>
      </x:c>
      <x:c r="S252" s="69" t="str">
        <x:v>Substantial benchmark/reliability implementation is imported by script wrappers and tests.</x:v>
      </x:c>
      <x:c r="T252" s="69" t="str">
        <x:v>Update run/check script imports and preserve question/output contracts.</x:v>
      </x:c>
      <x:c r="U252" s="69" t="str"/>
      <x:c r="V252" s="69" t="str">
        <x:v>TRACE_NET_ENGINEERING_REAL_ANSWER_SMOKE_TEST_BUILT, TRACE_NET_ENGINEERING_REAL_ANSWER_SMOKE_TEST_CHECKED</x:v>
      </x:c>
      <x:c r="W252" s="69" t="str"/>
      <x:c r="X252" s="72" t="n">
        <x:v>33192</x:v>
      </x:c>
      <x:c r="Y252" s="70" t="b">
        <x:v>1</x:v>
      </x:c>
      <x:c r="Z252" s="69" t="str">
        <x:v>Compatibility required</x:v>
      </x:c>
      <x:c r="AA252" s="69" t="str">
        <x:v>https://github.com/jwild2027/heico-ai-internship-summer-2026/blob/srv/tiff/trace_net_engineering_real_answer_smoke_test_v1.py</x:v>
      </x:c>
      <x:c r="AB252" s="69" t="str">
        <x:v>ingestion &lt;= path:tiff; ocr &lt;= string:ocr; visual &lt;= string:visual; retrieval &lt;= string:retriev; serving &lt;= string:sse; benchmarks &lt;= path:smoke, symbol:smoke, string:eval, string:smoke, environment:smoke</x:v>
      </x:c>
    </x:row>
    <x:row r="253">
      <x:c r="A253" s="68" t="n">
        <x:v>252</x:v>
      </x:c>
      <x:c r="B253" s="69" t="str">
        <x:v>tiff/trace_net_engineering_reasoning_kernel_v1.py</x:v>
      </x:c>
      <x:c r="C253" s="69" t="str">
        <x:v>trace_net_engineering_reasoning_kernel_v1.py</x:v>
      </x:c>
      <x:c r="D253" s="69" t="str">
        <x:v>ingestion</x:v>
      </x:c>
      <x:c r="E253" s="69" t="str">
        <x:v>shared, benchmarks</x:v>
      </x:c>
      <x:c r="F253" s="69" t="str">
        <x:v>writing</x:v>
      </x:c>
      <x:c r="G253" s="69" t="str">
        <x:v>src/trace_net/writing/</x:v>
      </x:c>
      <x:c r="H253" s="69" t="str">
        <x:v>src/trace_net/writing/trace_net_engineering_reasoning_kernel_v1.py</x:v>
      </x:c>
      <x:c r="I253" s="69" t="str">
        <x:v>active library module</x:v>
      </x:c>
      <x:c r="J253" s="69" t="str">
        <x:v>MOVE_WITH_IMPORT_UPDATES_AND_COMPATIBILITY_WRAPPER</x:v>
      </x:c>
      <x:c r="K253" s="70" t="b">
        <x:v>1</x:v>
      </x:c>
      <x:c r="L253" s="70" t="b">
        <x:v>0</x:v>
      </x:c>
      <x:c r="M253" s="70" t="b">
        <x:v>1</x:v>
      </x:c>
      <x:c r="N253" s="69" t="n">
        <x:v>4</x:v>
      </x:c>
      <x:c r="O253" s="69" t="n">
        <x:v>0</x:v>
      </x:c>
      <x:c r="P253" s="69" t="str">
        <x:v>scripts/build_trace_net_engineering_reasoning_kernel_v1.py; scripts/check_trace_net_engineering_reasoning_kernel_v1_quality.py; tests/unit/test_trace_net_engineering_reasoning_kernel_v1.py; tests/unit/test_trace_net_engineering_reasoning_kernel_v1_quality.py</x:v>
      </x:c>
      <x:c r="Q253" s="71" t="n">
        <x:v>0.95</x:v>
      </x:c>
      <x:c r="R253" s="69" t="str">
        <x:v>answer/writer naming</x:v>
      </x:c>
      <x:c r="S253" s="69" t="str">
        <x:v>Primary implementation belongs to the writing stage based on filename, imports, and inventory evidence.</x:v>
      </x:c>
      <x:c r="T253" s="69" t="str">
        <x:v>Update imports and retain the old tiff module as a wrapper when callers exist.</x:v>
      </x:c>
      <x:c r="U253" s="69" t="str"/>
      <x:c r="V253" s="69" t="str"/>
      <x:c r="W253" s="69" t="str"/>
      <x:c r="X253" s="72" t="n">
        <x:v>29115</x:v>
      </x:c>
      <x:c r="Y253" s="70" t="b">
        <x:v>1</x:v>
      </x:c>
      <x:c r="Z253" s="69" t="str">
        <x:v>Compatibility required</x:v>
      </x:c>
      <x:c r="AA253" s="69" t="str">
        <x:v>https://github.com/jwild2027/heico-ai-internship-summer-2026/blob/srv/tiff/trace_net_engineering_reasoning_kernel_v1.py</x:v>
      </x:c>
      <x:c r="AB253" s="69" t="str">
        <x:v>shared &lt;= symbol:contract, string:contract, string:trust_tier; ingestion &lt;= path:tiff; visual &lt;= string:callout, string:image_visual, string:visual; tables &lt;= string:table; embeddings &lt;= string:qdrant; retrieval &lt;= string:opensearch, string:retriev</x:v>
      </x:c>
    </x:row>
    <x:row r="254">
      <x:c r="A254" s="68" t="n">
        <x:v>253</x:v>
      </x:c>
      <x:c r="B254" s="69" t="str">
        <x:v>tiff/trace_net_engineering_runner_eval_set_v1.py</x:v>
      </x:c>
      <x:c r="C254" s="69" t="str">
        <x:v>trace_net_engineering_runner_eval_set_v1.py</x:v>
      </x:c>
      <x:c r="D254" s="69" t="str">
        <x:v>benchmarks</x:v>
      </x:c>
      <x:c r="E254" s="69" t="str"/>
      <x:c r="F254" s="69" t="str">
        <x:v>validation</x:v>
      </x:c>
      <x:c r="G254" s="69" t="str">
        <x:v>src/trace_net/validation/</x:v>
      </x:c>
      <x:c r="H254" s="69" t="str">
        <x:v>src/trace_net/validation/trace_net_engineering_runner_eval_set_v1.py</x:v>
      </x:c>
      <x:c r="I254" s="69" t="str">
        <x:v>benchmark implementation module</x:v>
      </x:c>
      <x:c r="J254" s="69" t="str">
        <x:v>MOVE_WITH_IMPORT_UPDATES_AND_COMPATIBILITY_WRAPPER</x:v>
      </x:c>
      <x:c r="K254" s="70" t="b">
        <x:v>1</x:v>
      </x:c>
      <x:c r="L254" s="70" t="b">
        <x:v>0</x:v>
      </x:c>
      <x:c r="M254" s="70" t="b">
        <x:v>1</x:v>
      </x:c>
      <x:c r="N254" s="69" t="n">
        <x:v>3</x:v>
      </x:c>
      <x:c r="O254" s="69" t="n">
        <x:v>2</x:v>
      </x:c>
      <x:c r="P254" s="69" t="str">
        <x:v>scripts/build_trace_net_engineering_runner_eval_set_v1.py; scripts/check_trace_net_engineering_runner_eval_set_v1.py; tests/unit/test_trace_net_engineering_runner_eval_set_v1.py; scripts/fix_trace_net_engineering_eval_short_run_dirs_v1.py; scripts/fix_trace_net_engineering_stage_write_dirs_v1.py</x:v>
      </x:c>
      <x:c r="Q254" s="71" t="n">
        <x:v>0.95</x:v>
      </x:c>
      <x:c r="R254" s="69" t="str">
        <x:v>inventory stage: benchmarks</x:v>
      </x:c>
      <x:c r="S254" s="69" t="str">
        <x:v>Substantial benchmark/reliability implementation is imported by script wrappers and tests.</x:v>
      </x:c>
      <x:c r="T254" s="69" t="str">
        <x:v>Update run/check script imports and preserve question/output contracts.</x:v>
      </x:c>
      <x:c r="U254" s="69" t="str"/>
      <x:c r="V254" s="69" t="str">
        <x:v>TRACE_NET_ENGINEERING_RUNNER_EVAL_SET_BUILT, TRACE_NET_ENGINEERING_RUNNER_EVAL_SET_QUALITY_CHECKED</x:v>
      </x:c>
      <x:c r="W254" s="69" t="str"/>
      <x:c r="X254" s="72" t="n">
        <x:v>28871</x:v>
      </x:c>
      <x:c r="Y254" s="70" t="b">
        <x:v>1</x:v>
      </x:c>
      <x:c r="Z254" s="69" t="str">
        <x:v>Compatibility required</x:v>
      </x:c>
      <x:c r="AA254" s="69" t="str">
        <x:v>https://github.com/jwild2027/heico-ai-internship-summer-2026/blob/srv/tiff/trace_net_engineering_runner_eval_set_v1.py</x:v>
      </x:c>
      <x:c r="AB254" s="69" t="str">
        <x:v>ingestion &lt;= path:tiff, string:tiff; ocr &lt;= string:ocr; visual &lt;= string:diagram, string:image_visual, string:llava, string:visual; tables &lt;= string:table; embeddings &lt;= string:qdrant; retrieval &lt;= string:opensearch</x:v>
      </x:c>
    </x:row>
    <x:row r="255">
      <x:c r="A255" s="68" t="n">
        <x:v>254</x:v>
      </x:c>
      <x:c r="B255" s="69" t="str">
        <x:v>tiff/trace_net_engineering_runner_eval_set_v1.py.pre_short_eval_run_dirs.bak</x:v>
      </x:c>
      <x:c r="C255" s="69" t="str">
        <x:v>trace_net_engineering_runner_eval_set_v1.py.pre_short_eval_run_dirs.bak</x:v>
      </x:c>
      <x:c r="D255" s="69" t="str">
        <x:v>ingestion</x:v>
      </x:c>
      <x:c r="E255" s="69" t="str">
        <x:v>benchmarks</x:v>
      </x:c>
      <x:c r="F255" s="69" t="str">
        <x:v>legacy</x:v>
      </x:c>
      <x:c r="G255" s="69" t="str">
        <x:v>legacy/tiff_backups/</x:v>
      </x:c>
      <x:c r="H255" s="69" t="str">
        <x:v>legacy/tiff_backups/trace_net_engineering_runner_eval_set_v1.py.pre_short_eval_run_dirs.bak</x:v>
      </x:c>
      <x:c r="I255" s="69" t="str">
        <x:v>backup snapshot</x:v>
      </x:c>
      <x:c r="J255" s="69" t="str">
        <x:v>LEGACY_ARCHIVE_WITH_GIT_MV</x:v>
      </x:c>
      <x:c r="K255" s="70" t="b">
        <x:v>0</x:v>
      </x:c>
      <x:c r="L255" s="70" t="b">
        <x:v>0</x:v>
      </x:c>
      <x:c r="M255" s="70" t="b">
        <x:v>0</x:v>
      </x:c>
      <x:c r="N255" s="69" t="n">
        <x:v>0</x:v>
      </x:c>
      <x:c r="O255" s="69" t="n">
        <x:v>0</x:v>
      </x:c>
      <x:c r="P255" s="69" t="str"/>
      <x:c r="Q255" s="71" t="n">
        <x:v>1</x:v>
      </x:c>
      <x:c r="R255" s="69" t="str">
        <x:v>backup snapshot</x:v>
      </x:c>
      <x:c r="S255" s="69" t="str">
        <x:v>Timestamped or pre-change backup copy beside the active module.</x:v>
      </x:c>
      <x:c r="T255" s="69" t="str">
        <x:v>Archive only; do not delete. Confirm the non-backup active file exists first.</x:v>
      </x:c>
      <x:c r="U255" s="69" t="str"/>
      <x:c r="V255" s="69" t="str"/>
      <x:c r="W255" s="69" t="str"/>
      <x:c r="X255" s="72" t="n">
        <x:v>27931</x:v>
      </x:c>
      <x:c r="Y255" s="70" t="b">
        <x:v>1</x:v>
      </x:c>
      <x:c r="Z255" s="69" t="str">
        <x:v>Legacy archive</x:v>
      </x:c>
      <x:c r="AA255" s="69" t="str">
        <x:v>https://github.com/jwild2027/heico-ai-internship-summer-2026/blob/srv/tiff/trace_net_engineering_runner_eval_set_v1.py.pre_short_eval_run_dirs.bak</x:v>
      </x:c>
      <x:c r="AB255" s="69" t="str">
        <x:v>ingestion &lt;= path:tiff; benchmarks &lt;= path:eval; referenced_by_count=3</x:v>
      </x:c>
    </x:row>
    <x:row r="256">
      <x:c r="A256" s="68" t="n">
        <x:v>255</x:v>
      </x:c>
      <x:c r="B256" s="69" t="str">
        <x:v>tiff/trace_net_engineering_runner_expanded_eval_set_v1.py</x:v>
      </x:c>
      <x:c r="C256" s="69" t="str">
        <x:v>trace_net_engineering_runner_expanded_eval_set_v1.py</x:v>
      </x:c>
      <x:c r="D256" s="69" t="str">
        <x:v>benchmarks</x:v>
      </x:c>
      <x:c r="E256" s="69" t="str">
        <x:v>ingestion</x:v>
      </x:c>
      <x:c r="F256" s="69" t="str">
        <x:v>validation</x:v>
      </x:c>
      <x:c r="G256" s="69" t="str">
        <x:v>src/trace_net/validation/</x:v>
      </x:c>
      <x:c r="H256" s="69" t="str">
        <x:v>src/trace_net/validation/trace_net_engineering_runner_expanded_eval_set_v1.py</x:v>
      </x:c>
      <x:c r="I256" s="69" t="str">
        <x:v>benchmark implementation module</x:v>
      </x:c>
      <x:c r="J256" s="69" t="str">
        <x:v>MOVE_WITH_IMPORT_UPDATES_AND_COMPATIBILITY_WRAPPER</x:v>
      </x:c>
      <x:c r="K256" s="70" t="b">
        <x:v>1</x:v>
      </x:c>
      <x:c r="L256" s="70" t="b">
        <x:v>0</x:v>
      </x:c>
      <x:c r="M256" s="70" t="b">
        <x:v>1</x:v>
      </x:c>
      <x:c r="N256" s="69" t="n">
        <x:v>3</x:v>
      </x:c>
      <x:c r="O256" s="69" t="n">
        <x:v>0</x:v>
      </x:c>
      <x:c r="P256" s="69" t="str">
        <x:v>scripts/build_trace_net_engineering_runner_expanded_eval_set_v1.py; scripts/check_trace_net_engineering_runner_expanded_eval_set_v1.py; tests/unit/test_trace_net_engineering_runner_expanded_eval_set_v1.py</x:v>
      </x:c>
      <x:c r="Q256" s="71" t="n">
        <x:v>0.95</x:v>
      </x:c>
      <x:c r="R256" s="69" t="str">
        <x:v>inventory stage: benchmarks</x:v>
      </x:c>
      <x:c r="S256" s="69" t="str">
        <x:v>Substantial benchmark/reliability implementation is imported by script wrappers and tests.</x:v>
      </x:c>
      <x:c r="T256" s="69" t="str">
        <x:v>Update run/check script imports and preserve question/output contracts.</x:v>
      </x:c>
      <x:c r="U256" s="69" t="str"/>
      <x:c r="V256" s="69" t="str">
        <x:v>TRACE_NET_ENGINEERING_RUNNER_EXPANDED_EVAL_SET_BUILT, TRACE_NET_ENGINEERING_RUNNER_EXPANDED_EVAL_SET_QUALITY_CHECKED</x:v>
      </x:c>
      <x:c r="W256" s="69" t="str"/>
      <x:c r="X256" s="72" t="n">
        <x:v>17042</x:v>
      </x:c>
      <x:c r="Y256" s="70" t="b">
        <x:v>1</x:v>
      </x:c>
      <x:c r="Z256" s="69" t="str">
        <x:v>Compatibility required</x:v>
      </x:c>
      <x:c r="AA256" s="69" t="str">
        <x:v>https://github.com/jwild2027/heico-ai-internship-summer-2026/blob/srv/tiff/trace_net_engineering_runner_expanded_eval_set_v1.py</x:v>
      </x:c>
      <x:c r="AB256" s="69" t="str">
        <x:v>shared &lt;= symbol:common; ingestion &lt;= path:tiff, import:tiff; ocr &lt;= string:ocr; visual &lt;= string:image_visual, string:llava, string:visual; tables &lt;= string:table; embeddings &lt;= string:qdrant</x:v>
      </x:c>
    </x:row>
    <x:row r="257">
      <x:c r="A257" s="68" t="n">
        <x:v>256</x:v>
      </x:c>
      <x:c r="B257" s="69" t="str">
        <x:v>tiff/trace_net_engineering_semantic_answer_quality_eval_v1.py</x:v>
      </x:c>
      <x:c r="C257" s="69" t="str">
        <x:v>trace_net_engineering_semantic_answer_quality_eval_v1.py</x:v>
      </x:c>
      <x:c r="D257" s="69" t="str">
        <x:v>benchmarks</x:v>
      </x:c>
      <x:c r="E257" s="69" t="str"/>
      <x:c r="F257" s="69" t="str">
        <x:v>validation</x:v>
      </x:c>
      <x:c r="G257" s="69" t="str">
        <x:v>src/trace_net/validation/</x:v>
      </x:c>
      <x:c r="H257" s="69" t="str">
        <x:v>src/trace_net/validation/trace_net_engineering_semantic_answer_quality_eval_v1.py</x:v>
      </x:c>
      <x:c r="I257" s="69" t="str">
        <x:v>quality validator module</x:v>
      </x:c>
      <x:c r="J257" s="69" t="str">
        <x:v>MOVE_WITH_IMPORT_UPDATES_AND_COMPATIBILITY_WRAPPER</x:v>
      </x:c>
      <x:c r="K257" s="70" t="b">
        <x:v>1</x:v>
      </x:c>
      <x:c r="L257" s="70" t="b">
        <x:v>0</x:v>
      </x:c>
      <x:c r="M257" s="70" t="b">
        <x:v>1</x:v>
      </x:c>
      <x:c r="N257" s="69" t="n">
        <x:v>3</x:v>
      </x:c>
      <x:c r="O257" s="69" t="n">
        <x:v>0</x:v>
      </x:c>
      <x:c r="P257" s="69" t="str">
        <x:v>scripts/build_trace_net_engineering_semantic_answer_quality_eval_v1.py; scripts/check_trace_net_engineering_semantic_answer_quality_eval_v1.py; tests/unit/test_trace_net_engineering_semantic_answer_quality_eval_v1.py</x:v>
      </x:c>
      <x:c r="Q257" s="71" t="n">
        <x:v>0.97</x:v>
      </x:c>
      <x:c r="R257" s="69" t="str">
        <x:v>validation/quality naming</x:v>
      </x:c>
      <x:c r="S257" s="69" t="str">
        <x:v>Quality logic is reusable source code for the validation stage.</x:v>
      </x:c>
      <x:c r="T257" s="69" t="str">
        <x:v>Update test and script imports; retain the old tiff import as a thin wrapper until PASS.</x:v>
      </x:c>
      <x:c r="U257" s="69" t="str"/>
      <x:c r="V257" s="69" t="str">
        <x:v>TRACE_NET_ENGINEERING_SEMANTIC_ANSWER_QUALITY_EVAL_BUILT, TRACE_NET_ENGINEERING_SEMANTIC_ANSWER_QUALITY_EVAL_CHECKED</x:v>
      </x:c>
      <x:c r="W257" s="69" t="str"/>
      <x:c r="X257" s="72" t="n">
        <x:v>24110</x:v>
      </x:c>
      <x:c r="Y257" s="70" t="b">
        <x:v>1</x:v>
      </x:c>
      <x:c r="Z257" s="69" t="str">
        <x:v>Compatibility required</x:v>
      </x:c>
      <x:c r="AA257" s="69" t="str">
        <x:v>https://github.com/jwild2027/heico-ai-internship-summer-2026/blob/srv/tiff/trace_net_engineering_semantic_answer_quality_eval_v1.py</x:v>
      </x:c>
      <x:c r="AB257" s="69" t="str">
        <x:v>ingestion &lt;= path:tiff; visual &lt;= string:llava; embeddings &lt;= string:qdrant; retrieval &lt;= string:opensearch; context &lt;= string:source_trace; validation &lt;= string:quality_gate</x:v>
      </x:c>
    </x:row>
    <x:row r="258">
      <x:c r="A258" s="68" t="n">
        <x:v>257</x:v>
      </x:c>
      <x:c r="B258" s="69" t="str">
        <x:v>tiff/trace_net_engineering_webui_answer_server_v1.py</x:v>
      </x:c>
      <x:c r="C258" s="69" t="str">
        <x:v>trace_net_engineering_webui_answer_server_v1.py</x:v>
      </x:c>
      <x:c r="D258" s="69" t="str">
        <x:v>serving</x:v>
      </x:c>
      <x:c r="E258" s="69" t="str"/>
      <x:c r="F258" s="69" t="str">
        <x:v>serving</x:v>
      </x:c>
      <x:c r="G258" s="69" t="str">
        <x:v>src/trace_net/serving/</x:v>
      </x:c>
      <x:c r="H258" s="69" t="str">
        <x:v>src/trace_net/serving/trace_net_engineering_webui_answer_server_v1.py</x:v>
      </x:c>
      <x:c r="I258" s="69" t="str">
        <x:v>serving/runtime module</x:v>
      </x:c>
      <x:c r="J258" s="69" t="str">
        <x:v>MOVE_WITH_PROTECTED_COMPATIBILITY_WRAPPER</x:v>
      </x:c>
      <x:c r="K258" s="70" t="b">
        <x:v>1</x:v>
      </x:c>
      <x:c r="L258" s="70" t="b">
        <x:v>1</x:v>
      </x:c>
      <x:c r="M258" s="70" t="b">
        <x:v>1</x:v>
      </x:c>
      <x:c r="N258" s="69" t="n">
        <x:v>8</x:v>
      </x:c>
      <x:c r="O258" s="69" t="n">
        <x:v>1</x:v>
      </x:c>
      <x:c r="P258" s="69" t="str">
        <x:v>scripts/build_trace_net_engineering_webui_answer_server_v1.py; scripts/check_trace_net_engineering_webui_answer_server_v1_quality.py; scripts/run_trace_net_engineering_webui_answer_server_v1.py; tests/unit/test_trace_net_engineering_webui_answer_server_v1.py; tests/unit/test_trace_net_engineering_webui_answer_server_v1_3.py; tests/unit/test_trace_net_engineering_webui_answer_server_v1_3_bridge_v1.py; tests/unit/test_trace_net_engineering_webui_answer_server_v1_quality.py; tiff/trace_net_engineering_webui_answer_server_v1_3.py; tiff/trace_net_canonical_runtime_map_v1.py</x:v>
      </x:c>
      <x:c r="Q258" s="71" t="n">
        <x:v>0.98</x:v>
      </x:c>
      <x:c r="R258" s="69" t="str">
        <x:v>serving/API naming</x:v>
      </x:c>
      <x:c r="S258" s="69" t="str">
        <x:v>API, endpoint, server, bridge, or console implementation used by runtime callers.</x:v>
      </x:c>
      <x:c r="T258" s="69" t="str">
        <x:v>Old entrypoint must remain callable; verify relevant ports and OpenWebUI behavior.</x:v>
      </x:c>
      <x:c r="U258" s="69" t="str">
        <x:v>8044, 11434</x:v>
      </x:c>
      <x:c r="V258" s="69" t="str"/>
      <x:c r="W258" s="69" t="str">
        <x:v>tiff/trace_net_engineering_webui_answer_server_v1_3.py</x:v>
      </x:c>
      <x:c r="X258" s="72" t="n">
        <x:v>40224</x:v>
      </x:c>
      <x:c r="Y258" s="70" t="b">
        <x:v>1</x:v>
      </x:c>
      <x:c r="Z258" s="69" t="str">
        <x:v>Protected runtime</x:v>
      </x:c>
      <x:c r="AA258" s="69" t="str">
        <x:v>https://github.com/jwild2027/heico-ai-internship-summer-2026/blob/srv/tiff/trace_net_engineering_webui_answer_server_v1.py</x:v>
      </x:c>
      <x:c r="AB258" s="69" t="str">
        <x:v>shared &lt;= string:contract, string:identifier; ingestion &lt;= path:tiff, symbol:inventory; ocr &lt;= string:fishnet, string:ocr; embeddings &lt;= string:qdrant; retrieval &lt;= string:opensearch, string:retriev; router &lt;= string:router</x:v>
      </x:c>
    </x:row>
    <x:row r="259">
      <x:c r="A259" s="68" t="n">
        <x:v>258</x:v>
      </x:c>
      <x:c r="B259" s="69" t="str">
        <x:v>tiff/trace_net_engineering_webui_answer_server_v1_3.py</x:v>
      </x:c>
      <x:c r="C259" s="69" t="str">
        <x:v>trace_net_engineering_webui_answer_server_v1_3.py</x:v>
      </x:c>
      <x:c r="D259" s="69" t="str">
        <x:v>serving</x:v>
      </x:c>
      <x:c r="E259" s="69" t="str"/>
      <x:c r="F259" s="69" t="str">
        <x:v>serving</x:v>
      </x:c>
      <x:c r="G259" s="69" t="str">
        <x:v>src/trace_net/serving/</x:v>
      </x:c>
      <x:c r="H259" s="69" t="str">
        <x:v>src/trace_net/serving/trace_net_engineering_webui_answer_server_v1_3.py</x:v>
      </x:c>
      <x:c r="I259" s="69" t="str">
        <x:v>serving/runtime module</x:v>
      </x:c>
      <x:c r="J259" s="69" t="str">
        <x:v>MOVE_WITH_PROTECTED_COMPATIBILITY_WRAPPER</x:v>
      </x:c>
      <x:c r="K259" s="70" t="b">
        <x:v>1</x:v>
      </x:c>
      <x:c r="L259" s="70" t="b">
        <x:v>1</x:v>
      </x:c>
      <x:c r="M259" s="70" t="b">
        <x:v>1</x:v>
      </x:c>
      <x:c r="N259" s="69" t="n">
        <x:v>5</x:v>
      </x:c>
      <x:c r="O259" s="69" t="n">
        <x:v>0</x:v>
      </x:c>
      <x:c r="P259" s="69" t="str">
        <x:v>scripts/build_trace_net_engineering_webui_answer_server_v1_3.py; scripts/check_trace_net_engineering_webui_answer_server_v1_3_quality.py; scripts/run_trace_net_engineering_webui_answer_server_v1_3.py; tests/unit/test_trace_net_engineering_webui_answer_server_v1_3.py; tiff/trace_net_engineering_webui_answer_server_v1_3_bridge_v1.py</x:v>
      </x:c>
      <x:c r="Q259" s="71" t="n">
        <x:v>0.98</x:v>
      </x:c>
      <x:c r="R259" s="69" t="str">
        <x:v>serving/API naming</x:v>
      </x:c>
      <x:c r="S259" s="69" t="str">
        <x:v>API, endpoint, server, bridge, or console implementation used by runtime callers.</x:v>
      </x:c>
      <x:c r="T259" s="69" t="str">
        <x:v>Old entrypoint must remain callable; verify relevant ports and OpenWebUI behavior.</x:v>
      </x:c>
      <x:c r="U259" s="69" t="str">
        <x:v>8044</x:v>
      </x:c>
      <x:c r="V259" s="69" t="str"/>
      <x:c r="W259" s="69" t="str"/>
      <x:c r="X259" s="72" t="n">
        <x:v>21828</x:v>
      </x:c>
      <x:c r="Y259" s="70" t="b">
        <x:v>1</x:v>
      </x:c>
      <x:c r="Z259" s="69" t="str">
        <x:v>Protected runtime</x:v>
      </x:c>
      <x:c r="AA259" s="69" t="str">
        <x:v>https://github.com/jwild2027/heico-ai-internship-summer-2026/blob/srv/tiff/trace_net_engineering_webui_answer_server_v1_3.py</x:v>
      </x:c>
      <x:c r="AB259" s="69" t="str">
        <x:v>shared &lt;= string:contract; ingestion &lt;= path:tiff, import:tiff; ocr &lt;= string:fishnet, string:ocr; visual &lt;= string:callout, string:diagram, string:visual; tables &lt;= string:ipl, string:parts_list, string:table; embeddings &lt;= string:qdrant</x:v>
      </x:c>
    </x:row>
    <x:row r="260">
      <x:c r="A260" s="68" t="n">
        <x:v>259</x:v>
      </x:c>
      <x:c r="B260" s="69" t="str">
        <x:v>tiff/trace_net_engineering_webui_answer_server_v1_3_bridge_v1.py</x:v>
      </x:c>
      <x:c r="C260" s="69" t="str">
        <x:v>trace_net_engineering_webui_answer_server_v1_3_bridge_v1.py</x:v>
      </x:c>
      <x:c r="D260" s="69" t="str">
        <x:v>serving</x:v>
      </x:c>
      <x:c r="E260" s="69" t="str">
        <x:v>validation</x:v>
      </x:c>
      <x:c r="F260" s="69" t="str">
        <x:v>serving</x:v>
      </x:c>
      <x:c r="G260" s="69" t="str">
        <x:v>src/trace_net/serving/</x:v>
      </x:c>
      <x:c r="H260" s="69" t="str">
        <x:v>src/trace_net/serving/trace_net_engineering_webui_answer_server_v1_3_bridge_v1.py</x:v>
      </x:c>
      <x:c r="I260" s="69" t="str">
        <x:v>serving/runtime module</x:v>
      </x:c>
      <x:c r="J260" s="69" t="str">
        <x:v>MOVE_WITH_PROTECTED_COMPATIBILITY_WRAPPER</x:v>
      </x:c>
      <x:c r="K260" s="70" t="b">
        <x:v>1</x:v>
      </x:c>
      <x:c r="L260" s="70" t="b">
        <x:v>1</x:v>
      </x:c>
      <x:c r="M260" s="70" t="b">
        <x:v>1</x:v>
      </x:c>
      <x:c r="N260" s="69" t="n">
        <x:v>6</x:v>
      </x:c>
      <x:c r="O260" s="69" t="n">
        <x:v>1</x:v>
      </x:c>
      <x:c r="P260" s="69" t="str">
        <x:v>scripts/build_trace_net_engineering_webui_answer_server_v1_3_bridge_v1.py; scripts/check_trace_net_engineering_webui_answer_server_v1_3_bridge_v1_quality.py; scripts/run_trace_net_engineering_webui_answer_server_v1_3_bridge_v1.py; tests/unit/test_trace_net_engineering_webui_answer_server_v1_3_bridge_v1.py; tests/unit/test_trace_net_engineering_webui_answer_server_v1_3_bridge_v1_quality.py; tests/unit/test_trace_net_engineering_webui_answer_server_v1_3_bridge_v1_visual_context.py; tiff/trace_net_canonical_runtime_map_v1.py</x:v>
      </x:c>
      <x:c r="Q260" s="71" t="n">
        <x:v>0.98</x:v>
      </x:c>
      <x:c r="R260" s="69" t="str">
        <x:v>serving/API naming</x:v>
      </x:c>
      <x:c r="S260" s="69" t="str">
        <x:v>API, endpoint, server, bridge, or console implementation used by runtime callers.</x:v>
      </x:c>
      <x:c r="T260" s="69" t="str">
        <x:v>Old entrypoint must remain callable; verify relevant ports and OpenWebUI behavior.</x:v>
      </x:c>
      <x:c r="U260" s="69" t="str">
        <x:v>8044</x:v>
      </x:c>
      <x:c r="V260" s="69" t="str">
        <x:v>TRACE_NET_WEBUI_SELF_RAG_CRAG_BRIDGE_DISABLED, TRACE_NET_WEBUI_SELF_RAG_CRAG_BRIDGE_EXCEPTION</x:v>
      </x:c>
      <x:c r="W260" s="69" t="str"/>
      <x:c r="X260" s="72" t="n">
        <x:v>43995</x:v>
      </x:c>
      <x:c r="Y260" s="70" t="b">
        <x:v>1</x:v>
      </x:c>
      <x:c r="Z260" s="69" t="str">
        <x:v>Protected runtime</x:v>
      </x:c>
      <x:c r="AA260" s="69" t="str">
        <x:v>https://github.com/jwild2027/heico-ai-internship-summer-2026/blob/srv/tiff/trace_net_engineering_webui_answer_server_v1_3_bridge_v1.py</x:v>
      </x:c>
      <x:c r="AB260" s="69" t="str">
        <x:v>shared &lt;= string:contract, string:helper; ingestion &lt;= path:tiff, import:tiff, string:tiff; ocr &lt;= string:fishnet, string:ocr; visual &lt;= string:image_route, string:image_visual, string:visual; tables &lt;= string:table; graph &lt;= string:graph, string:leiden</x:v>
      </x:c>
    </x:row>
    <x:row r="261">
      <x:c r="A261" s="68" t="n">
        <x:v>260</x:v>
      </x:c>
      <x:c r="B261" s="69" t="str">
        <x:v>tiff/trace_net_engram_skill_cards_v1.py</x:v>
      </x:c>
      <x:c r="C261" s="69" t="str">
        <x:v>trace_net_engram_skill_cards_v1.py</x:v>
      </x:c>
      <x:c r="D261" s="69" t="str">
        <x:v>brain_engram</x:v>
      </x:c>
      <x:c r="E261" s="69" t="str"/>
      <x:c r="F261" s="69" t="str">
        <x:v>engram</x:v>
      </x:c>
      <x:c r="G261" s="69" t="str">
        <x:v>src/trace_net/engram/</x:v>
      </x:c>
      <x:c r="H261" s="69" t="str">
        <x:v>src/trace_net/engram/trace_net_engram_skill_cards_v1.py</x:v>
      </x:c>
      <x:c r="I261" s="69" t="str">
        <x:v>artifact builder implementation</x:v>
      </x:c>
      <x:c r="J261" s="69" t="str">
        <x:v>MOVE_WITH_IMPORT_UPDATES_AND_COMPATIBILITY_WRAPPER</x:v>
      </x:c>
      <x:c r="K261" s="70" t="b">
        <x:v>1</x:v>
      </x:c>
      <x:c r="L261" s="70" t="b">
        <x:v>0</x:v>
      </x:c>
      <x:c r="M261" s="70" t="b">
        <x:v>1</x:v>
      </x:c>
      <x:c r="N261" s="69" t="n">
        <x:v>6</x:v>
      </x:c>
      <x:c r="O261" s="69" t="n">
        <x:v>2</x:v>
      </x:c>
      <x:c r="P261" s="69" t="str">
        <x:v>scripts/check_trace_net_engram_skill_cards_v1.py; scripts/select_trace_net_engram_skills_v1.py; scripts/trace_net_h30_engram_skill_planner_guidance_v1.py; tests/unit/test_trace_net_nha_engram_v1.py; tiff/trace_net_engram_skill_shadow_v1.py; tiff/trace_net_nha_engram_v1.py; tests/unit/test_trace_net_engram_skill_cards_v1.py; tests/unit/test_trace_net_engram_skill_shadow_phase2_1_v1.py</x:v>
      </x:c>
      <x:c r="Q261" s="71" t="n">
        <x:v>0.96</x:v>
      </x:c>
      <x:c r="R261" s="69" t="str">
        <x:v>engram/memory naming</x:v>
      </x:c>
      <x:c r="S261" s="69" t="str">
        <x:v>Build implementation is imported by active wrappers/tests and belongs to the engram package.</x:v>
      </x:c>
      <x:c r="T261" s="69" t="str">
        <x:v>Update wrapper imports and compare generated artifact counts/checksums.</x:v>
      </x:c>
      <x:c r="U261" s="69" t="str"/>
      <x:c r="V261" s="69" t="str">
        <x:v>TRACE_NET_ENGRAM_SKILL_CARDS_V1_CHECKED, TRACE_NET_ENGRAM_SKILL_CARDS_V1_SELECTED</x:v>
      </x:c>
      <x:c r="W261" s="69" t="str"/>
      <x:c r="X261" s="72" t="n">
        <x:v>18439</x:v>
      </x:c>
      <x:c r="Y261" s="70" t="b">
        <x:v>1</x:v>
      </x:c>
      <x:c r="Z261" s="69" t="str">
        <x:v>Compatibility required</x:v>
      </x:c>
      <x:c r="AA261" s="69" t="str">
        <x:v>https://github.com/jwild2027/heico-ai-internship-summer-2026/blob/srv/tiff/trace_net_engram_skill_cards_v1.py</x:v>
      </x:c>
      <x:c r="AB261" s="69" t="str">
        <x:v>shared &lt;= string:contract, string:identifier; ingestion &lt;= path:tiff; tables &lt;= string:table; embeddings &lt;= string:qdrant; retrieval &lt;= string:exact_identifier, string:opensearch, string:ranking_policy, string:retriev; router &lt;= symbol:query_atom, string:query_atom, string:router</x:v>
      </x:c>
    </x:row>
    <x:row r="262">
      <x:c r="A262" s="68" t="n">
        <x:v>261</x:v>
      </x:c>
      <x:c r="B262" s="69" t="str">
        <x:v>tiff/trace_net_engram_skill_shadow_v1.py</x:v>
      </x:c>
      <x:c r="C262" s="69" t="str">
        <x:v>trace_net_engram_skill_shadow_v1.py</x:v>
      </x:c>
      <x:c r="D262" s="69" t="str">
        <x:v>brain_engram</x:v>
      </x:c>
      <x:c r="E262" s="69" t="str">
        <x:v>ingestion</x:v>
      </x:c>
      <x:c r="F262" s="69" t="str">
        <x:v>engram</x:v>
      </x:c>
      <x:c r="G262" s="69" t="str">
        <x:v>src/trace_net/engram/</x:v>
      </x:c>
      <x:c r="H262" s="69" t="str">
        <x:v>src/trace_net/engram/trace_net_engram_skill_shadow_v1.py</x:v>
      </x:c>
      <x:c r="I262" s="69" t="str">
        <x:v>active library module</x:v>
      </x:c>
      <x:c r="J262" s="69" t="str">
        <x:v>MOVE_WITH_IMPORT_UPDATES_AND_COMPATIBILITY_WRAPPER</x:v>
      </x:c>
      <x:c r="K262" s="70" t="b">
        <x:v>1</x:v>
      </x:c>
      <x:c r="L262" s="70" t="b">
        <x:v>0</x:v>
      </x:c>
      <x:c r="M262" s="70" t="b">
        <x:v>1</x:v>
      </x:c>
      <x:c r="N262" s="69" t="n">
        <x:v>2</x:v>
      </x:c>
      <x:c r="O262" s="69" t="n">
        <x:v>2</x:v>
      </x:c>
      <x:c r="P262" s="69" t="str">
        <x:v>scripts/build_trace_net_engram_skill_shadow_report_v1.py; scripts/trace_net_h30_engram_skill_shadow_v1.py; tests/unit/test_trace_net_engram_skill_shadow_phase2_1_v1.py; tests/unit/test_trace_net_engram_skill_shadow_v1.py</x:v>
      </x:c>
      <x:c r="Q262" s="71" t="n">
        <x:v>0.95</x:v>
      </x:c>
      <x:c r="R262" s="69" t="str">
        <x:v>engram/memory naming</x:v>
      </x:c>
      <x:c r="S262" s="69" t="str">
        <x:v>Primary implementation belongs to the engram stage based on filename, imports, and inventory evidence.</x:v>
      </x:c>
      <x:c r="T262" s="69" t="str">
        <x:v>Update imports and retain the old tiff module as a wrapper when callers exist.</x:v>
      </x:c>
      <x:c r="U262" s="69" t="str"/>
      <x:c r="V262" s="69" t="str">
        <x:v>TRACE_NET_ENGRAM_SKILL_SHADOW_V1_BUILT</x:v>
      </x:c>
      <x:c r="W262" s="69" t="str"/>
      <x:c r="X262" s="72" t="n">
        <x:v>17714</x:v>
      </x:c>
      <x:c r="Y262" s="70" t="b">
        <x:v>1</x:v>
      </x:c>
      <x:c r="Z262" s="69" t="str">
        <x:v>Compatibility required</x:v>
      </x:c>
      <x:c r="AA262" s="69" t="str">
        <x:v>https://github.com/jwild2027/heico-ai-internship-summer-2026/blob/srv/tiff/trace_net_engram_skill_shadow_v1.py</x:v>
      </x:c>
      <x:c r="AB262" s="69" t="str">
        <x:v>shared &lt;= string:contract; ingestion &lt;= path:tiff, import:tiff, string:convert; visual &lt;= string:diagram, string:visual; tables &lt;= symbol:table, string:ipl, string:table; graph &lt;= string:graph; embeddings &lt;= string:qdrant</x:v>
      </x:c>
    </x:row>
    <x:row r="263">
      <x:c r="A263" s="68" t="n">
        <x:v>262</x:v>
      </x:c>
      <x:c r="B263" s="69" t="str">
        <x:v>tiff/trace_net_evidence_consensus.py</x:v>
      </x:c>
      <x:c r="C263" s="69" t="str">
        <x:v>trace_net_evidence_consensus.py</x:v>
      </x:c>
      <x:c r="D263" s="69" t="str">
        <x:v>validation</x:v>
      </x:c>
      <x:c r="E263" s="69" t="str">
        <x:v>ingestion, serving, ocr, visual</x:v>
      </x:c>
      <x:c r="F263" s="69" t="str">
        <x:v>context</x:v>
      </x:c>
      <x:c r="G263" s="69" t="str">
        <x:v>src/trace_net/context/</x:v>
      </x:c>
      <x:c r="H263" s="69" t="str">
        <x:v>src/trace_net/context/trace_net_evidence_consensus.py</x:v>
      </x:c>
      <x:c r="I263" s="69" t="str">
        <x:v>active library module</x:v>
      </x:c>
      <x:c r="J263" s="69" t="str">
        <x:v>MOVE_WITH_IMPORT_UPDATES_AND_COMPATIBILITY_WRAPPER</x:v>
      </x:c>
      <x:c r="K263" s="70" t="b">
        <x:v>1</x:v>
      </x:c>
      <x:c r="L263" s="70" t="b">
        <x:v>0</x:v>
      </x:c>
      <x:c r="M263" s="70" t="b">
        <x:v>1</x:v>
      </x:c>
      <x:c r="N263" s="69" t="n">
        <x:v>2</x:v>
      </x:c>
      <x:c r="O263" s="69" t="n">
        <x:v>0</x:v>
      </x:c>
      <x:c r="P263" s="69" t="str">
        <x:v>scripts/build_trace_net_evidence_consensus.py; tests/unit/test_tiff_trace_net_evidence_consensus.py</x:v>
      </x:c>
      <x:c r="Q263" s="71" t="n">
        <x:v>0.95</x:v>
      </x:c>
      <x:c r="R263" s="69" t="str">
        <x:v>context/evidence naming</x:v>
      </x:c>
      <x:c r="S263" s="69" t="str">
        <x:v>Primary implementation belongs to the context stage based on filename, imports, and inventory evidence.</x:v>
      </x:c>
      <x:c r="T263" s="69" t="str">
        <x:v>Update imports and retain the old tiff module as a wrapper when callers exist.</x:v>
      </x:c>
      <x:c r="U263" s="69" t="str"/>
      <x:c r="V263" s="69" t="str"/>
      <x:c r="W263" s="69" t="str"/>
      <x:c r="X263" s="72" t="n">
        <x:v>70832</x:v>
      </x:c>
      <x:c r="Y263" s="70" t="b">
        <x:v>1</x:v>
      </x:c>
      <x:c r="Z263" s="69" t="str">
        <x:v>Compatibility required</x:v>
      </x:c>
      <x:c r="AA263" s="69" t="str">
        <x:v>https://github.com/jwild2027/heico-ai-internship-summer-2026/blob/srv/tiff/trace_net_evidence_consensus.py</x:v>
      </x:c>
      <x:c r="AB263" s="69" t="str">
        <x:v>shared &lt;= string:trust_tier; ingestion &lt;= path:tiff, symbol:extract_page, string:tiff; ocr &lt;= symbol:ocr, string:ocr; visual &lt;= symbol:visual, string:visual; tables &lt;= symbol:table, string:table; graph &lt;= symbol:graph, string:graph</x:v>
      </x:c>
    </x:row>
    <x:row r="264">
      <x:c r="A264" s="68" t="n">
        <x:v>263</x:v>
      </x:c>
      <x:c r="B264" s="69" t="str">
        <x:v>tiff/trace_net_evidence_consensus_quality.py</x:v>
      </x:c>
      <x:c r="C264" s="69" t="str">
        <x:v>trace_net_evidence_consensus_quality.py</x:v>
      </x:c>
      <x:c r="D264" s="69" t="str">
        <x:v>validation</x:v>
      </x:c>
      <x:c r="E264" s="69" t="str">
        <x:v>ingestion, legacy</x:v>
      </x:c>
      <x:c r="F264" s="69" t="str">
        <x:v>validation</x:v>
      </x:c>
      <x:c r="G264" s="69" t="str">
        <x:v>src/trace_net/validation/</x:v>
      </x:c>
      <x:c r="H264" s="69" t="str">
        <x:v>src/trace_net/validation/trace_net_evidence_consensus_quality.py</x:v>
      </x:c>
      <x:c r="I264" s="69" t="str">
        <x:v>quality validator module</x:v>
      </x:c>
      <x:c r="J264" s="69" t="str">
        <x:v>MOVE_WITH_IMPORT_UPDATES_AND_COMPATIBILITY_WRAPPER</x:v>
      </x:c>
      <x:c r="K264" s="70" t="b">
        <x:v>1</x:v>
      </x:c>
      <x:c r="L264" s="70" t="b">
        <x:v>0</x:v>
      </x:c>
      <x:c r="M264" s="70" t="b">
        <x:v>1</x:v>
      </x:c>
      <x:c r="N264" s="69" t="n">
        <x:v>2</x:v>
      </x:c>
      <x:c r="O264" s="69" t="n">
        <x:v>0</x:v>
      </x:c>
      <x:c r="P264" s="69" t="str">
        <x:v>scripts/check_trace_net_evidence_consensus_quality.py; tests/unit/test_tiff_trace_net_evidence_consensus_quality.py</x:v>
      </x:c>
      <x:c r="Q264" s="71" t="n">
        <x:v>0.97</x:v>
      </x:c>
      <x:c r="R264" s="69" t="str">
        <x:v>context/evidence naming</x:v>
      </x:c>
      <x:c r="S264" s="69" t="str">
        <x:v>Quality logic is reusable source code for the context stage.</x:v>
      </x:c>
      <x:c r="T264" s="69" t="str">
        <x:v>Update test and script imports; retain the old tiff import as a thin wrapper until PASS.</x:v>
      </x:c>
      <x:c r="U264" s="69" t="str"/>
      <x:c r="V264" s="69" t="str"/>
      <x:c r="W264" s="69" t="str"/>
      <x:c r="X264" s="72" t="n">
        <x:v>13117</x:v>
      </x:c>
      <x:c r="Y264" s="70" t="b">
        <x:v>1</x:v>
      </x:c>
      <x:c r="Z264" s="69" t="str">
        <x:v>Compatibility required</x:v>
      </x:c>
      <x:c r="AA264" s="69" t="str">
        <x:v>https://github.com/jwild2027/heico-ai-internship-summer-2026/blob/srv/tiff/trace_net_evidence_consensus_quality.py</x:v>
      </x:c>
      <x:c r="AB264" s="69" t="str">
        <x:v>shared &lt;= string:trust_tier; ingestion &lt;= path:tiff, string:tiff; visual &lt;= string:visual; tables &lt;= string:table; graph &lt;= string:graph; router &lt;= string:router</x:v>
      </x:c>
    </x:row>
    <x:row r="265">
      <x:c r="A265" s="68" t="n">
        <x:v>264</x:v>
      </x:c>
      <x:c r="B265" s="69" t="str">
        <x:v>tiff/trace_net_evidence_snippet_claims_v1.py</x:v>
      </x:c>
      <x:c r="C265" s="69" t="str">
        <x:v>trace_net_evidence_snippet_claims_v1.py</x:v>
      </x:c>
      <x:c r="D265" s="69" t="str">
        <x:v>ingestion</x:v>
      </x:c>
      <x:c r="E265" s="69" t="str">
        <x:v>serving, benchmarks, shared, tables</x:v>
      </x:c>
      <x:c r="F265" s="69" t="str">
        <x:v>context</x:v>
      </x:c>
      <x:c r="G265" s="69" t="str">
        <x:v>src/trace_net/context/</x:v>
      </x:c>
      <x:c r="H265" s="69" t="str">
        <x:v>src/trace_net/context/trace_net_evidence_snippet_claims_v1.py</x:v>
      </x:c>
      <x:c r="I265" s="69" t="str">
        <x:v>active library module</x:v>
      </x:c>
      <x:c r="J265" s="69" t="str">
        <x:v>MOVE_WITH_IMPORT_UPDATES_AND_COMPATIBILITY_WRAPPER</x:v>
      </x:c>
      <x:c r="K265" s="70" t="b">
        <x:v>1</x:v>
      </x:c>
      <x:c r="L265" s="70" t="b">
        <x:v>0</x:v>
      </x:c>
      <x:c r="M265" s="70" t="b">
        <x:v>1</x:v>
      </x:c>
      <x:c r="N265" s="69" t="n">
        <x:v>2</x:v>
      </x:c>
      <x:c r="O265" s="69" t="n">
        <x:v>0</x:v>
      </x:c>
      <x:c r="P265" s="69" t="str">
        <x:v>scripts/build_trace_net_evidence_snippet_claims_v1.py; scripts/check_trace_net_evidence_snippet_claims_v1_quality.py</x:v>
      </x:c>
      <x:c r="Q265" s="71" t="n">
        <x:v>0.95</x:v>
      </x:c>
      <x:c r="R265" s="69" t="str">
        <x:v>context/evidence naming</x:v>
      </x:c>
      <x:c r="S265" s="69" t="str">
        <x:v>Primary implementation belongs to the context stage based on filename, imports, and inventory evidence.</x:v>
      </x:c>
      <x:c r="T265" s="69" t="str">
        <x:v>Update imports and retain the old tiff module as a wrapper when callers exist.</x:v>
      </x:c>
      <x:c r="U265" s="69" t="str"/>
      <x:c r="V265" s="69" t="str"/>
      <x:c r="W265" s="69" t="str"/>
      <x:c r="X265" s="72" t="n">
        <x:v>52874</x:v>
      </x:c>
      <x:c r="Y265" s="70" t="b">
        <x:v>1</x:v>
      </x:c>
      <x:c r="Z265" s="69" t="str">
        <x:v>Compatibility required</x:v>
      </x:c>
      <x:c r="AA265" s="69" t="str">
        <x:v>https://github.com/jwild2027/heico-ai-internship-summer-2026/blob/srv/tiff/trace_net_evidence_snippet_claims_v1.py</x:v>
      </x:c>
      <x:c r="AB265" s="69" t="str">
        <x:v>shared &lt;= string:contract, string:helper, string:schema, string:trust_tier; ingestion &lt;= path:tiff, string:tiff; ocr &lt;= string:ocr; visual &lt;= string:visual; tables &lt;= symbol:table, string:table; embeddings &lt;= string:embedding, string:embedding_candidate</x:v>
      </x:c>
    </x:row>
    <x:row r="266">
      <x:c r="A266" s="68" t="n">
        <x:v>265</x:v>
      </x:c>
      <x:c r="B266" s="69" t="str">
        <x:v>tiff/trace_net_evidence_snippet_cleaner_v1.py</x:v>
      </x:c>
      <x:c r="C266" s="69" t="str">
        <x:v>trace_net_evidence_snippet_cleaner_v1.py</x:v>
      </x:c>
      <x:c r="D266" s="69" t="str">
        <x:v>benchmarks</x:v>
      </x:c>
      <x:c r="E266" s="69" t="str">
        <x:v>embeddings, serving, ingestion, shared</x:v>
      </x:c>
      <x:c r="F266" s="69" t="str">
        <x:v>context</x:v>
      </x:c>
      <x:c r="G266" s="69" t="str">
        <x:v>src/trace_net/context/</x:v>
      </x:c>
      <x:c r="H266" s="69" t="str">
        <x:v>src/trace_net/context/trace_net_evidence_snippet_cleaner_v1.py</x:v>
      </x:c>
      <x:c r="I266" s="69" t="str">
        <x:v>active library module</x:v>
      </x:c>
      <x:c r="J266" s="69" t="str">
        <x:v>MOVE_WITH_IMPORT_UPDATES_AND_COMPATIBILITY_WRAPPER</x:v>
      </x:c>
      <x:c r="K266" s="70" t="b">
        <x:v>1</x:v>
      </x:c>
      <x:c r="L266" s="70" t="b">
        <x:v>0</x:v>
      </x:c>
      <x:c r="M266" s="70" t="b">
        <x:v>1</x:v>
      </x:c>
      <x:c r="N266" s="69" t="n">
        <x:v>2</x:v>
      </x:c>
      <x:c r="O266" s="69" t="n">
        <x:v>0</x:v>
      </x:c>
      <x:c r="P266" s="69" t="str">
        <x:v>scripts/build_trace_net_evidence_snippet_cleaner_v1.py; scripts/check_trace_net_evidence_snippet_cleaner_v1_quality.py</x:v>
      </x:c>
      <x:c r="Q266" s="71" t="n">
        <x:v>0.95</x:v>
      </x:c>
      <x:c r="R266" s="69" t="str">
        <x:v>context/evidence naming</x:v>
      </x:c>
      <x:c r="S266" s="69" t="str">
        <x:v>Primary implementation belongs to the context stage based on filename, imports, and inventory evidence.</x:v>
      </x:c>
      <x:c r="T266" s="69" t="str">
        <x:v>Update imports and retain the old tiff module as a wrapper when callers exist.</x:v>
      </x:c>
      <x:c r="U266" s="69" t="str"/>
      <x:c r="V266" s="69" t="str"/>
      <x:c r="W266" s="69" t="str"/>
      <x:c r="X266" s="72" t="n">
        <x:v>59318</x:v>
      </x:c>
      <x:c r="Y266" s="70" t="b">
        <x:v>1</x:v>
      </x:c>
      <x:c r="Z266" s="69" t="str">
        <x:v>Compatibility required</x:v>
      </x:c>
      <x:c r="AA266" s="69" t="str">
        <x:v>https://github.com/jwild2027/heico-ai-internship-summer-2026/blob/srv/tiff/trace_net_evidence_snippet_cleaner_v1.py</x:v>
      </x:c>
      <x:c r="AB266" s="69" t="str">
        <x:v>shared &lt;= string:contract, string:helper, string:schema, string:trust_tier; ingestion &lt;= path:tiff, string:tiff; ocr &lt;= string:ocr; visual &lt;= string:visual; tables &lt;= symbol:table, string:table; embeddings &lt;= symbol:embedding, symbol:embedding_candidate, string:embedding, string:embedding_candidate</x:v>
      </x:c>
    </x:row>
    <x:row r="267">
      <x:c r="A267" s="68" t="n">
        <x:v>266</x:v>
      </x:c>
      <x:c r="B267" s="69" t="str">
        <x:v>tiff/trace_net_evidence_sufficiency_critic_v1.py</x:v>
      </x:c>
      <x:c r="C267" s="69" t="str">
        <x:v>trace_net_evidence_sufficiency_critic_v1.py</x:v>
      </x:c>
      <x:c r="D267" s="69" t="str">
        <x:v>validation</x:v>
      </x:c>
      <x:c r="E267" s="69" t="str">
        <x:v>benchmarks</x:v>
      </x:c>
      <x:c r="F267" s="69" t="str">
        <x:v>validation</x:v>
      </x:c>
      <x:c r="G267" s="69" t="str">
        <x:v>src/trace_net/validation/</x:v>
      </x:c>
      <x:c r="H267" s="69" t="str">
        <x:v>src/trace_net/validation/trace_net_evidence_sufficiency_critic_v1.py</x:v>
      </x:c>
      <x:c r="I267" s="69" t="str">
        <x:v>runtime validation/gating module</x:v>
      </x:c>
      <x:c r="J267" s="69" t="str">
        <x:v>MOVE_WITH_IMPORT_UPDATES_AND_COMPATIBILITY_WRAPPER</x:v>
      </x:c>
      <x:c r="K267" s="70" t="b">
        <x:v>1</x:v>
      </x:c>
      <x:c r="L267" s="70" t="b">
        <x:v>0</x:v>
      </x:c>
      <x:c r="M267" s="70" t="b">
        <x:v>1</x:v>
      </x:c>
      <x:c r="N267" s="69" t="n">
        <x:v>4</x:v>
      </x:c>
      <x:c r="O267" s="69" t="n">
        <x:v>0</x:v>
      </x:c>
      <x:c r="P267" s="69" t="str">
        <x:v>scripts/build_trace_net_evidence_sufficiency_critic_v1.py; scripts/check_trace_net_evidence_sufficiency_critic_v1_quality.py; tests/unit/test_trace_net_evidence_sufficiency_critic_v1.py; tests/unit/test_trace_net_evidence_sufficiency_critic_v1_quality.py</x:v>
      </x:c>
      <x:c r="Q267" s="71" t="n">
        <x:v>0.96</x:v>
      </x:c>
      <x:c r="R267" s="69" t="str">
        <x:v>cross-cutting validation/reliability</x:v>
      </x:c>
      <x:c r="S267" s="69" t="str">
        <x:v>Implements a runtime gate, critic, hardener, or evidence sufficiency check.</x:v>
      </x:c>
      <x:c r="T267" s="69" t="str">
        <x:v>Preserve gating semantics and old import path until focused tests pass.</x:v>
      </x:c>
      <x:c r="U267" s="69" t="str"/>
      <x:c r="V267" s="69" t="str"/>
      <x:c r="W267" s="69" t="str"/>
      <x:c r="X267" s="72" t="n">
        <x:v>45680</x:v>
      </x:c>
      <x:c r="Y267" s="70" t="b">
        <x:v>1</x:v>
      </x:c>
      <x:c r="Z267" s="69" t="str">
        <x:v>Compatibility required</x:v>
      </x:c>
      <x:c r="AA267" s="69" t="str">
        <x:v>https://github.com/jwild2027/heico-ai-internship-summer-2026/blob/srv/tiff/trace_net_evidence_sufficiency_critic_v1.py</x:v>
      </x:c>
      <x:c r="AB267" s="69" t="str">
        <x:v>shared &lt;= string:contract, string:helper, string:schema; ingestion &lt;= path:tiff; ocr &lt;= string:ocr; visual &lt;= string:callout, string:diagram, string:vision, string:visual; tables &lt;= symbol:table, string:table, string:table_cell, string:table_row; graph &lt;= string:community, string:relationship</x:v>
      </x:c>
    </x:row>
    <x:row r="268">
      <x:c r="A268" s="68" t="n">
        <x:v>267</x:v>
      </x:c>
      <x:c r="B268" s="69" t="str">
        <x:v>tiff/trace_net_fast_answer_composer_v1.py</x:v>
      </x:c>
      <x:c r="C268" s="69" t="str">
        <x:v>trace_net_fast_answer_composer_v1.py</x:v>
      </x:c>
      <x:c r="D268" s="69" t="str">
        <x:v>ingestion</x:v>
      </x:c>
      <x:c r="E268" s="69" t="str">
        <x:v>benchmarks</x:v>
      </x:c>
      <x:c r="F268" s="69" t="str">
        <x:v>writing</x:v>
      </x:c>
      <x:c r="G268" s="69" t="str">
        <x:v>src/trace_net/writing/</x:v>
      </x:c>
      <x:c r="H268" s="69" t="str">
        <x:v>src/trace_net/writing/trace_net_fast_answer_composer_v1.py</x:v>
      </x:c>
      <x:c r="I268" s="69" t="str">
        <x:v>active library module</x:v>
      </x:c>
      <x:c r="J268" s="69" t="str">
        <x:v>MOVE_WITH_IMPORT_UPDATES_AND_COMPATIBILITY_WRAPPER</x:v>
      </x:c>
      <x:c r="K268" s="70" t="b">
        <x:v>1</x:v>
      </x:c>
      <x:c r="L268" s="70" t="b">
        <x:v>0</x:v>
      </x:c>
      <x:c r="M268" s="70" t="b">
        <x:v>1</x:v>
      </x:c>
      <x:c r="N268" s="69" t="n">
        <x:v>4</x:v>
      </x:c>
      <x:c r="O268" s="69" t="n">
        <x:v>0</x:v>
      </x:c>
      <x:c r="P268" s="69" t="str">
        <x:v>scripts/build_trace_net_fast_answer_composer_v1.py; scripts/check_trace_net_fast_answer_composer_v1_quality.py; tests/unit/test_trace_net_fast_answer_composer_v1.py; tests/unit/test_trace_net_fast_answer_composer_v1_quality.py</x:v>
      </x:c>
      <x:c r="Q268" s="71" t="n">
        <x:v>0.95</x:v>
      </x:c>
      <x:c r="R268" s="69" t="str">
        <x:v>answer/writer naming</x:v>
      </x:c>
      <x:c r="S268" s="69" t="str">
        <x:v>Primary implementation belongs to the writing stage based on filename, imports, and inventory evidence.</x:v>
      </x:c>
      <x:c r="T268" s="69" t="str">
        <x:v>Update imports and retain the old tiff module as a wrapper when callers exist.</x:v>
      </x:c>
      <x:c r="U268" s="69" t="str"/>
      <x:c r="V268" s="69" t="str">
        <x:v>TRACE_NET_FAST_ANSWER_COMPOSER_BUILT</x:v>
      </x:c>
      <x:c r="W268" s="69" t="str"/>
      <x:c r="X268" s="72" t="n">
        <x:v>25778</x:v>
      </x:c>
      <x:c r="Y268" s="70" t="b">
        <x:v>1</x:v>
      </x:c>
      <x:c r="Z268" s="69" t="str">
        <x:v>Compatibility required</x:v>
      </x:c>
      <x:c r="AA268" s="69" t="str">
        <x:v>https://github.com/jwild2027/heico-ai-internship-summer-2026/blob/srv/tiff/trace_net_fast_answer_composer_v1.py</x:v>
      </x:c>
      <x:c r="AB268" s="69" t="str">
        <x:v>ingestion &lt;= path:tiff; ocr &lt;= string:ocr; tables &lt;= string:table; graph &lt;= string:community, string:graph, string:leiden; embeddings &lt;= string:qdrant; retrieval &lt;= string:opensearch</x:v>
      </x:c>
    </x:row>
    <x:row r="269">
      <x:c r="A269" s="68" t="n">
        <x:v>268</x:v>
      </x:c>
      <x:c r="B269" s="69" t="str">
        <x:v>tiff/trace_net_fast_chat_multi_route_quality_gate_v1.py</x:v>
      </x:c>
      <x:c r="C269" s="69" t="str">
        <x:v>trace_net_fast_chat_multi_route_quality_gate_v1.py</x:v>
      </x:c>
      <x:c r="D269" s="69" t="str">
        <x:v>validation</x:v>
      </x:c>
      <x:c r="E269" s="69" t="str"/>
      <x:c r="F269" s="69" t="str">
        <x:v>validation</x:v>
      </x:c>
      <x:c r="G269" s="69" t="str">
        <x:v>src/trace_net/validation/</x:v>
      </x:c>
      <x:c r="H269" s="69" t="str">
        <x:v>src/trace_net/validation/trace_net_fast_chat_multi_route_quality_gate_v1.py</x:v>
      </x:c>
      <x:c r="I269" s="69" t="str">
        <x:v>quality validator module</x:v>
      </x:c>
      <x:c r="J269" s="69" t="str">
        <x:v>MOVE_WITH_IMPORT_UPDATES_AND_COMPATIBILITY_WRAPPER</x:v>
      </x:c>
      <x:c r="K269" s="70" t="b">
        <x:v>1</x:v>
      </x:c>
      <x:c r="L269" s="70" t="b">
        <x:v>0</x:v>
      </x:c>
      <x:c r="M269" s="70" t="b">
        <x:v>1</x:v>
      </x:c>
      <x:c r="N269" s="69" t="n">
        <x:v>4</x:v>
      </x:c>
      <x:c r="O269" s="69" t="n">
        <x:v>0</x:v>
      </x:c>
      <x:c r="P269" s="69" t="str">
        <x:v>scripts/build_trace_net_fast_chat_multi_route_quality_gate_v1.py; scripts/check_trace_net_fast_chat_multi_route_quality_gate_v1_quality.py; tests/unit/test_trace_net_fast_chat_multi_route_quality_gate_v1.py; tests/unit/test_trace_net_fast_chat_multi_route_quality_gate_v1_quality.py</x:v>
      </x:c>
      <x:c r="Q269" s="71" t="n">
        <x:v>0.97</x:v>
      </x:c>
      <x:c r="R269" s="69" t="str">
        <x:v>validation/quality naming</x:v>
      </x:c>
      <x:c r="S269" s="69" t="str">
        <x:v>Quality logic is reusable source code for the validation stage.</x:v>
      </x:c>
      <x:c r="T269" s="69" t="str">
        <x:v>Update test and script imports; retain the old tiff import as a thin wrapper until PASS.</x:v>
      </x:c>
      <x:c r="U269" s="69" t="str"/>
      <x:c r="V269" s="69" t="str">
        <x:v>TRACE_NET_FAST_CHAT_MULTI_ROUTE_QUALITY_GATE_BUILT</x:v>
      </x:c>
      <x:c r="W269" s="69" t="str"/>
      <x:c r="X269" s="72" t="n">
        <x:v>19596</x:v>
      </x:c>
      <x:c r="Y269" s="70" t="b">
        <x:v>1</x:v>
      </x:c>
      <x:c r="Z269" s="69" t="str">
        <x:v>Compatibility required</x:v>
      </x:c>
      <x:c r="AA269" s="69" t="str">
        <x:v>https://github.com/jwild2027/heico-ai-internship-summer-2026/blob/srv/tiff/trace_net_fast_chat_multi_route_quality_gate_v1.py</x:v>
      </x:c>
      <x:c r="AB269" s="69" t="str">
        <x:v>ingestion &lt;= path:tiff; visual &lt;= string:diagram; embeddings &lt;= string:qdrant; retrieval &lt;= string:opensearch; validation &lt;= path:quality_gate, symbol:quality_gate, string:quality_gate, environment:quality_gate; serving &lt;= string:sse</x:v>
      </x:c>
    </x:row>
    <x:row r="270">
      <x:c r="A270" s="68" t="n">
        <x:v>269</x:v>
      </x:c>
      <x:c r="B270" s="69" t="str">
        <x:v>tiff/trace_net_fast_chat_runner_image_route_integrator_v1.py</x:v>
      </x:c>
      <x:c r="C270" s="69" t="str">
        <x:v>trace_net_fast_chat_runner_image_route_integrator_v1.py</x:v>
      </x:c>
      <x:c r="D270" s="69" t="str">
        <x:v>visual</x:v>
      </x:c>
      <x:c r="E270" s="69" t="str">
        <x:v>ingestion</x:v>
      </x:c>
      <x:c r="F270" s="69" t="str">
        <x:v>visual</x:v>
      </x:c>
      <x:c r="G270" s="69" t="str">
        <x:v>src/trace_net/visual/</x:v>
      </x:c>
      <x:c r="H270" s="69" t="str">
        <x:v>src/trace_net/visual/trace_net_fast_chat_runner_image_route_integrator_v1.py</x:v>
      </x:c>
      <x:c r="I270" s="69" t="str">
        <x:v>active library module</x:v>
      </x:c>
      <x:c r="J270" s="69" t="str">
        <x:v>MOVE_WITH_IMPORT_UPDATES_AND_COMPATIBILITY_WRAPPER</x:v>
      </x:c>
      <x:c r="K270" s="70" t="b">
        <x:v>1</x:v>
      </x:c>
      <x:c r="L270" s="70" t="b">
        <x:v>0</x:v>
      </x:c>
      <x:c r="M270" s="70" t="b">
        <x:v>1</x:v>
      </x:c>
      <x:c r="N270" s="69" t="n">
        <x:v>2</x:v>
      </x:c>
      <x:c r="O270" s="69" t="n">
        <x:v>0</x:v>
      </x:c>
      <x:c r="P270" s="69" t="str">
        <x:v>tests/unit/test_trace_net_fast_chat_runner_image_route_integrator_v1.py; tools/patch_archive/apply_trace_net_fast_chat_runner_image_route_integration_v1.py</x:v>
      </x:c>
      <x:c r="Q270" s="71" t="n">
        <x:v>0.95</x:v>
      </x:c>
      <x:c r="R270" s="69" t="str">
        <x:v>visual/image/vision naming</x:v>
      </x:c>
      <x:c r="S270" s="69" t="str">
        <x:v>Primary implementation belongs to the visual stage based on filename, imports, and inventory evidence.</x:v>
      </x:c>
      <x:c r="T270" s="69" t="str">
        <x:v>Update imports and retain the old tiff module as a wrapper when callers exist.</x:v>
      </x:c>
      <x:c r="U270" s="69" t="str"/>
      <x:c r="V270" s="69" t="str">
        <x:v>TRACE_NET_FAST_CHAT_RUNNER_IMAGE_ROUTE_INTEGRATION_APPLIED, TRACE_NET_IMAGE_ROUTE_FAST_CHAT_INTEGRATED_V1</x:v>
      </x:c>
      <x:c r="W270" s="69" t="str"/>
      <x:c r="X270" s="72" t="n">
        <x:v>18411</x:v>
      </x:c>
      <x:c r="Y270" s="70" t="b">
        <x:v>1</x:v>
      </x:c>
      <x:c r="Z270" s="69" t="str">
        <x:v>Compatibility required</x:v>
      </x:c>
      <x:c r="AA270" s="69" t="str">
        <x:v>https://github.com/jwild2027/heico-ai-internship-summer-2026/blob/srv/tiff/trace_net_fast_chat_runner_image_route_integrator_v1.py</x:v>
      </x:c>
      <x:c r="AB270" s="69" t="str">
        <x:v>ingestion &lt;= path:tiff, string:tiff; visual &lt;= path:image_route, string:diagram, string:image_route, string:image_visual, string:llava, environment:image_route; context &lt;= string:context_pack, string:evidence_pack, string:source_trace; validation &lt;= string:quality_gate, string:validation; serving &lt;= string:serve, string:sse; referenced_by_count=2</x:v>
      </x:c>
    </x:row>
    <x:row r="271">
      <x:c r="A271" s="68" t="n">
        <x:v>270</x:v>
      </x:c>
      <x:c r="B271" s="69" t="str">
        <x:v>tiff/trace_net_fast_chat_runner_v1.py</x:v>
      </x:c>
      <x:c r="C271" s="69" t="str">
        <x:v>trace_net_fast_chat_runner_v1.py</x:v>
      </x:c>
      <x:c r="D271" s="69" t="str">
        <x:v>validation</x:v>
      </x:c>
      <x:c r="E271" s="69" t="str">
        <x:v>visual, benchmarks, ingestion</x:v>
      </x:c>
      <x:c r="F271" s="69" t="str">
        <x:v>validation</x:v>
      </x:c>
      <x:c r="G271" s="69" t="str">
        <x:v>src/trace_net/validation/</x:v>
      </x:c>
      <x:c r="H271" s="69" t="str">
        <x:v>src/trace_net/validation/trace_net_fast_chat_runner_v1.py</x:v>
      </x:c>
      <x:c r="I271" s="69" t="str">
        <x:v>active library module</x:v>
      </x:c>
      <x:c r="J271" s="69" t="str">
        <x:v>MOVE_WITH_IMPORT_UPDATES_AND_COMPATIBILITY_WRAPPER</x:v>
      </x:c>
      <x:c r="K271" s="70" t="b">
        <x:v>1</x:v>
      </x:c>
      <x:c r="L271" s="70" t="b">
        <x:v>0</x:v>
      </x:c>
      <x:c r="M271" s="70" t="b">
        <x:v>1</x:v>
      </x:c>
      <x:c r="N271" s="69" t="n">
        <x:v>4</x:v>
      </x:c>
      <x:c r="O271" s="69" t="n">
        <x:v>7</x:v>
      </x:c>
      <x:c r="P271" s="69" t="str">
        <x:v>scripts/check_trace_net_fast_chat_runner_v1_quality.py; scripts/run_trace_net_fast_chat_runner_v1.py; tests/unit/test_trace_net_fast_chat_runner_v1.py; tests/unit/test_trace_net_fast_chat_runner_v1_quality.py; docs/trace_net_fast_chat_runner_image_adapter_import_path_fix_v1_README.md; docs/trace_net_image_route_openwebui_endpoint_v1_README.md; scripts/fix_trace_net_fast_chat_runner_image_adapter_import_path_v1.py; scripts/fix_trace_net_fast_chat_runner_image_citation_validation_v1.py; scripts/fix_trace_net_fast_chat_runner_image_route_precedence_v1.py; scripts/fix_trace_net_fast_chat_runner_image_route_syntax_v1.py; … +1 more</x:v>
      </x:c>
      <x:c r="Q271" s="71" t="n">
        <x:v>0.95</x:v>
      </x:c>
      <x:c r="R271" s="69" t="str">
        <x:v>inventory stage: validation</x:v>
      </x:c>
      <x:c r="S271" s="69" t="str">
        <x:v>Primary implementation belongs to the validation stage based on filename, imports, and inventory evidence.</x:v>
      </x:c>
      <x:c r="T271" s="69" t="str">
        <x:v>Update imports and retain the old tiff module as a wrapper when callers exist.</x:v>
      </x:c>
      <x:c r="U271" s="69" t="str"/>
      <x:c r="V271" s="69" t="str">
        <x:v>TRACE_NET_FAST_CHAT_RUNNER_BUILT, TRACE_NET_IMAGE_ROUTE_CITATION_VALIDATION_FIX_V1, TRACE_NET_IMAGE_ROUTE_FAST_CHAT_INTEGRATED_V1, TRACE_NET_IMAGE_ROUTE_IMPORT_PATH_FIX_V1_BEGIN, TRACE_NET_IMAGE_ROUTE_IMPORT_PATH_FIX_V1_END, TRACE_NET_IMAGE_ROUTE_PRECEDENCE_FIX_V1</x:v>
      </x:c>
      <x:c r="W271" s="69" t="str"/>
      <x:c r="X271" s="72" t="n">
        <x:v>59639</x:v>
      </x:c>
      <x:c r="Y271" s="70" t="b">
        <x:v>1</x:v>
      </x:c>
      <x:c r="Z271" s="69" t="str">
        <x:v>Compatibility required</x:v>
      </x:c>
      <x:c r="AA271" s="69" t="str">
        <x:v>https://github.com/jwild2027/heico-ai-internship-summer-2026/blob/srv/tiff/trace_net_fast_chat_runner_v1.py</x:v>
      </x:c>
      <x:c r="AB271" s="69" t="str">
        <x:v>ingestion &lt;= path:tiff, string:tiff; visual &lt;= string:image_route, string:llava, environment:image_route; graph &lt;= string:graph, string:leiden; embeddings &lt;= string:qdrant; retrieval &lt;= string:opensearch; context &lt;= string:context_pack, string:source_trace</x:v>
      </x:c>
    </x:row>
    <x:row r="272">
      <x:c r="A272" s="68" t="n">
        <x:v>271</x:v>
      </x:c>
      <x:c r="B272" s="69" t="str">
        <x:v>tiff/trace_net_fast_chat_runner_v1.py.pre_image_adapter_import_path_fix_v1.bak</x:v>
      </x:c>
      <x:c r="C272" s="69" t="str">
        <x:v>trace_net_fast_chat_runner_v1.py.pre_image_adapter_import_path_fix_v1.bak</x:v>
      </x:c>
      <x:c r="D272" s="69" t="str">
        <x:v>ingestion</x:v>
      </x:c>
      <x:c r="E272" s="69" t="str"/>
      <x:c r="F272" s="69" t="str">
        <x:v>legacy</x:v>
      </x:c>
      <x:c r="G272" s="69" t="str">
        <x:v>legacy/tiff_backups/</x:v>
      </x:c>
      <x:c r="H272" s="69" t="str">
        <x:v>legacy/tiff_backups/trace_net_fast_chat_runner_v1.py.pre_image_adapter_import_path_fix_v1.bak</x:v>
      </x:c>
      <x:c r="I272" s="69" t="str">
        <x:v>backup snapshot</x:v>
      </x:c>
      <x:c r="J272" s="69" t="str">
        <x:v>LEGACY_ARCHIVE_WITH_GIT_MV</x:v>
      </x:c>
      <x:c r="K272" s="70" t="b">
        <x:v>0</x:v>
      </x:c>
      <x:c r="L272" s="70" t="b">
        <x:v>0</x:v>
      </x:c>
      <x:c r="M272" s="70" t="b">
        <x:v>0</x:v>
      </x:c>
      <x:c r="N272" s="69" t="n">
        <x:v>0</x:v>
      </x:c>
      <x:c r="O272" s="69" t="n">
        <x:v>0</x:v>
      </x:c>
      <x:c r="P272" s="69" t="str"/>
      <x:c r="Q272" s="71" t="n">
        <x:v>1</x:v>
      </x:c>
      <x:c r="R272" s="69" t="str">
        <x:v>backup snapshot</x:v>
      </x:c>
      <x:c r="S272" s="69" t="str">
        <x:v>Timestamped or pre-change backup copy beside the active module.</x:v>
      </x:c>
      <x:c r="T272" s="69" t="str">
        <x:v>Archive only; do not delete. Confirm the non-backup active file exists first.</x:v>
      </x:c>
      <x:c r="U272" s="69" t="str"/>
      <x:c r="V272" s="69" t="str"/>
      <x:c r="W272" s="69" t="str"/>
      <x:c r="X272" s="72" t="n">
        <x:v>56766</x:v>
      </x:c>
      <x:c r="Y272" s="70" t="b">
        <x:v>1</x:v>
      </x:c>
      <x:c r="Z272" s="69" t="str">
        <x:v>Legacy archive</x:v>
      </x:c>
      <x:c r="AA272" s="69" t="str">
        <x:v>https://github.com/jwild2027/heico-ai-internship-summer-2026/blob/srv/tiff/trace_net_fast_chat_runner_v1.py.pre_image_adapter_import_path_fix_v1.bak</x:v>
      </x:c>
      <x:c r="AB272" s="69" t="str">
        <x:v>ingestion &lt;= path:tiff; referenced_by_count=2</x:v>
      </x:c>
    </x:row>
    <x:row r="273">
      <x:c r="A273" s="68" t="n">
        <x:v>272</x:v>
      </x:c>
      <x:c r="B273" s="69" t="str">
        <x:v>tiff/trace_net_fast_chat_runner_v1.py.pre_image_route_citation_validation_fix_v1.bak</x:v>
      </x:c>
      <x:c r="C273" s="69" t="str">
        <x:v>trace_net_fast_chat_runner_v1.py.pre_image_route_citation_validation_fix_v1.bak</x:v>
      </x:c>
      <x:c r="D273" s="69" t="str">
        <x:v>validation</x:v>
      </x:c>
      <x:c r="E273" s="69" t="str">
        <x:v>ingestion, visual</x:v>
      </x:c>
      <x:c r="F273" s="69" t="str">
        <x:v>legacy</x:v>
      </x:c>
      <x:c r="G273" s="69" t="str">
        <x:v>legacy/tiff_backups/</x:v>
      </x:c>
      <x:c r="H273" s="69" t="str">
        <x:v>legacy/tiff_backups/trace_net_fast_chat_runner_v1.py.pre_image_route_citation_validation_fix_v1.bak</x:v>
      </x:c>
      <x:c r="I273" s="69" t="str">
        <x:v>backup snapshot</x:v>
      </x:c>
      <x:c r="J273" s="69" t="str">
        <x:v>LEGACY_ARCHIVE_WITH_GIT_MV</x:v>
      </x:c>
      <x:c r="K273" s="70" t="b">
        <x:v>0</x:v>
      </x:c>
      <x:c r="L273" s="70" t="b">
        <x:v>0</x:v>
      </x:c>
      <x:c r="M273" s="70" t="b">
        <x:v>0</x:v>
      </x:c>
      <x:c r="N273" s="69" t="n">
        <x:v>0</x:v>
      </x:c>
      <x:c r="O273" s="69" t="n">
        <x:v>0</x:v>
      </x:c>
      <x:c r="P273" s="69" t="str"/>
      <x:c r="Q273" s="71" t="n">
        <x:v>1</x:v>
      </x:c>
      <x:c r="R273" s="69" t="str">
        <x:v>backup snapshot</x:v>
      </x:c>
      <x:c r="S273" s="69" t="str">
        <x:v>Timestamped or pre-change backup copy beside the active module.</x:v>
      </x:c>
      <x:c r="T273" s="69" t="str">
        <x:v>Archive only; do not delete. Confirm the non-backup active file exists first.</x:v>
      </x:c>
      <x:c r="U273" s="69" t="str"/>
      <x:c r="V273" s="69" t="str"/>
      <x:c r="W273" s="69" t="str"/>
      <x:c r="X273" s="72" t="n">
        <x:v>57588</x:v>
      </x:c>
      <x:c r="Y273" s="70" t="b">
        <x:v>1</x:v>
      </x:c>
      <x:c r="Z273" s="69" t="str">
        <x:v>Legacy archive</x:v>
      </x:c>
      <x:c r="AA273" s="69" t="str">
        <x:v>https://github.com/jwild2027/heico-ai-internship-summer-2026/blob/srv/tiff/trace_net_fast_chat_runner_v1.py.pre_image_route_citation_validation_fix_v1.bak</x:v>
      </x:c>
      <x:c r="AB273" s="69" t="str">
        <x:v>ingestion &lt;= path:tiff; visual &lt;= path:image_route; validation &lt;= path:citation_validation, path:validation; referenced_by_count=3</x:v>
      </x:c>
    </x:row>
    <x:row r="274">
      <x:c r="A274" s="68" t="n">
        <x:v>273</x:v>
      </x:c>
      <x:c r="B274" s="69" t="str">
        <x:v>tiff/trace_net_fast_chat_runner_v1.py.pre_image_route_integration_v1.bak</x:v>
      </x:c>
      <x:c r="C274" s="69" t="str">
        <x:v>trace_net_fast_chat_runner_v1.py.pre_image_route_integration_v1.bak</x:v>
      </x:c>
      <x:c r="D274" s="69" t="str">
        <x:v>ingestion</x:v>
      </x:c>
      <x:c r="E274" s="69" t="str">
        <x:v>visual</x:v>
      </x:c>
      <x:c r="F274" s="69" t="str">
        <x:v>legacy</x:v>
      </x:c>
      <x:c r="G274" s="69" t="str">
        <x:v>legacy/tiff_backups/</x:v>
      </x:c>
      <x:c r="H274" s="69" t="str">
        <x:v>legacy/tiff_backups/trace_net_fast_chat_runner_v1.py.pre_image_route_integration_v1.bak</x:v>
      </x:c>
      <x:c r="I274" s="69" t="str">
        <x:v>backup snapshot</x:v>
      </x:c>
      <x:c r="J274" s="69" t="str">
        <x:v>LEGACY_ARCHIVE_WITH_GIT_MV</x:v>
      </x:c>
      <x:c r="K274" s="70" t="b">
        <x:v>0</x:v>
      </x:c>
      <x:c r="L274" s="70" t="b">
        <x:v>0</x:v>
      </x:c>
      <x:c r="M274" s="70" t="b">
        <x:v>0</x:v>
      </x:c>
      <x:c r="N274" s="69" t="n">
        <x:v>0</x:v>
      </x:c>
      <x:c r="O274" s="69" t="n">
        <x:v>0</x:v>
      </x:c>
      <x:c r="P274" s="69" t="str"/>
      <x:c r="Q274" s="71" t="n">
        <x:v>1</x:v>
      </x:c>
      <x:c r="R274" s="69" t="str">
        <x:v>backup snapshot</x:v>
      </x:c>
      <x:c r="S274" s="69" t="str">
        <x:v>Timestamped or pre-change backup copy beside the active module.</x:v>
      </x:c>
      <x:c r="T274" s="69" t="str">
        <x:v>Archive only; do not delete. Confirm the non-backup active file exists first.</x:v>
      </x:c>
      <x:c r="U274" s="69" t="str"/>
      <x:c r="V274" s="69" t="str"/>
      <x:c r="W274" s="69" t="str"/>
      <x:c r="X274" s="72" t="n">
        <x:v>48803</x:v>
      </x:c>
      <x:c r="Y274" s="70" t="b">
        <x:v>1</x:v>
      </x:c>
      <x:c r="Z274" s="69" t="str">
        <x:v>Legacy archive</x:v>
      </x:c>
      <x:c r="AA274" s="69" t="str">
        <x:v>https://github.com/jwild2027/heico-ai-internship-summer-2026/blob/srv/tiff/trace_net_fast_chat_runner_v1.py.pre_image_route_integration_v1.bak</x:v>
      </x:c>
      <x:c r="AB274" s="69" t="str">
        <x:v>ingestion &lt;= path:tiff; visual &lt;= path:image_route; referenced_by_count=3</x:v>
      </x:c>
    </x:row>
    <x:row r="275">
      <x:c r="A275" s="68" t="n">
        <x:v>274</x:v>
      </x:c>
      <x:c r="B275" s="69" t="str">
        <x:v>tiff/trace_net_fast_chat_runner_v1.py.pre_image_route_precedence_fix_v1.bak</x:v>
      </x:c>
      <x:c r="C275" s="69" t="str">
        <x:v>trace_net_fast_chat_runner_v1.py.pre_image_route_precedence_fix_v1.bak</x:v>
      </x:c>
      <x:c r="D275" s="69" t="str">
        <x:v>ingestion</x:v>
      </x:c>
      <x:c r="E275" s="69" t="str">
        <x:v>visual</x:v>
      </x:c>
      <x:c r="F275" s="69" t="str">
        <x:v>legacy</x:v>
      </x:c>
      <x:c r="G275" s="69" t="str">
        <x:v>legacy/tiff_backups/</x:v>
      </x:c>
      <x:c r="H275" s="69" t="str">
        <x:v>legacy/tiff_backups/trace_net_fast_chat_runner_v1.py.pre_image_route_precedence_fix_v1.bak</x:v>
      </x:c>
      <x:c r="I275" s="69" t="str">
        <x:v>backup snapshot</x:v>
      </x:c>
      <x:c r="J275" s="69" t="str">
        <x:v>LEGACY_ARCHIVE_WITH_GIT_MV</x:v>
      </x:c>
      <x:c r="K275" s="70" t="b">
        <x:v>0</x:v>
      </x:c>
      <x:c r="L275" s="70" t="b">
        <x:v>0</x:v>
      </x:c>
      <x:c r="M275" s="70" t="b">
        <x:v>0</x:v>
      </x:c>
      <x:c r="N275" s="69" t="n">
        <x:v>0</x:v>
      </x:c>
      <x:c r="O275" s="69" t="n">
        <x:v>0</x:v>
      </x:c>
      <x:c r="P275" s="69" t="str"/>
      <x:c r="Q275" s="71" t="n">
        <x:v>1</x:v>
      </x:c>
      <x:c r="R275" s="69" t="str">
        <x:v>backup snapshot</x:v>
      </x:c>
      <x:c r="S275" s="69" t="str">
        <x:v>Timestamped or pre-change backup copy beside the active module.</x:v>
      </x:c>
      <x:c r="T275" s="69" t="str">
        <x:v>Archive only; do not delete. Confirm the non-backup active file exists first.</x:v>
      </x:c>
      <x:c r="U275" s="69" t="str"/>
      <x:c r="V275" s="69" t="str"/>
      <x:c r="W275" s="69" t="str"/>
      <x:c r="X275" s="72" t="n">
        <x:v>55601</x:v>
      </x:c>
      <x:c r="Y275" s="70" t="b">
        <x:v>1</x:v>
      </x:c>
      <x:c r="Z275" s="69" t="str">
        <x:v>Legacy archive</x:v>
      </x:c>
      <x:c r="AA275" s="69" t="str">
        <x:v>https://github.com/jwild2027/heico-ai-internship-summer-2026/blob/srv/tiff/trace_net_fast_chat_runner_v1.py.pre_image_route_precedence_fix_v1.bak</x:v>
      </x:c>
      <x:c r="AB275" s="69" t="str">
        <x:v>ingestion &lt;= path:tiff; visual &lt;= path:image_route; referenced_by_count=3</x:v>
      </x:c>
    </x:row>
    <x:row r="276">
      <x:c r="A276" s="68" t="n">
        <x:v>275</x:v>
      </x:c>
      <x:c r="B276" s="69" t="str">
        <x:v>tiff/trace_net_fast_chat_runner_v1.py.pre_image_route_syntax_fix_v1.bak</x:v>
      </x:c>
      <x:c r="C276" s="69" t="str">
        <x:v>trace_net_fast_chat_runner_v1.py.pre_image_route_syntax_fix_v1.bak</x:v>
      </x:c>
      <x:c r="D276" s="69" t="str">
        <x:v>ingestion</x:v>
      </x:c>
      <x:c r="E276" s="69" t="str">
        <x:v>visual</x:v>
      </x:c>
      <x:c r="F276" s="69" t="str">
        <x:v>legacy</x:v>
      </x:c>
      <x:c r="G276" s="69" t="str">
        <x:v>legacy/tiff_backups/</x:v>
      </x:c>
      <x:c r="H276" s="69" t="str">
        <x:v>legacy/tiff_backups/trace_net_fast_chat_runner_v1.py.pre_image_route_syntax_fix_v1.bak</x:v>
      </x:c>
      <x:c r="I276" s="69" t="str">
        <x:v>backup snapshot</x:v>
      </x:c>
      <x:c r="J276" s="69" t="str">
        <x:v>LEGACY_ARCHIVE_WITH_GIT_MV</x:v>
      </x:c>
      <x:c r="K276" s="70" t="b">
        <x:v>0</x:v>
      </x:c>
      <x:c r="L276" s="70" t="b">
        <x:v>0</x:v>
      </x:c>
      <x:c r="M276" s="70" t="b">
        <x:v>0</x:v>
      </x:c>
      <x:c r="N276" s="69" t="n">
        <x:v>0</x:v>
      </x:c>
      <x:c r="O276" s="69" t="n">
        <x:v>0</x:v>
      </x:c>
      <x:c r="P276" s="69" t="str"/>
      <x:c r="Q276" s="71" t="n">
        <x:v>1</x:v>
      </x:c>
      <x:c r="R276" s="69" t="str">
        <x:v>backup snapshot</x:v>
      </x:c>
      <x:c r="S276" s="69" t="str">
        <x:v>Timestamped or pre-change backup copy beside the active module.</x:v>
      </x:c>
      <x:c r="T276" s="69" t="str">
        <x:v>Archive only; do not delete. Confirm the non-backup active file exists first.</x:v>
      </x:c>
      <x:c r="U276" s="69" t="str"/>
      <x:c r="V276" s="69" t="str"/>
      <x:c r="W276" s="69" t="str"/>
      <x:c r="X276" s="72" t="n">
        <x:v>55578</x:v>
      </x:c>
      <x:c r="Y276" s="70" t="b">
        <x:v>1</x:v>
      </x:c>
      <x:c r="Z276" s="69" t="str">
        <x:v>Legacy archive</x:v>
      </x:c>
      <x:c r="AA276" s="69" t="str">
        <x:v>https://github.com/jwild2027/heico-ai-internship-summer-2026/blob/srv/tiff/trace_net_fast_chat_runner_v1.py.pre_image_route_syntax_fix_v1.bak</x:v>
      </x:c>
      <x:c r="AB276" s="69" t="str">
        <x:v>ingestion &lt;= path:tiff; visual &lt;= path:image_route; referenced_by_count=3</x:v>
      </x:c>
    </x:row>
    <x:row r="277">
      <x:c r="A277" s="68" t="n">
        <x:v>276</x:v>
      </x:c>
      <x:c r="B277" s="69" t="str">
        <x:v>tiff/trace_net_feedback.py</x:v>
      </x:c>
      <x:c r="C277" s="69" t="str">
        <x:v>trace_net_feedback.py</x:v>
      </x:c>
      <x:c r="D277" s="69" t="str">
        <x:v>feedback</x:v>
      </x:c>
      <x:c r="E277" s="69" t="str">
        <x:v>ingestion</x:v>
      </x:c>
      <x:c r="F277" s="69" t="str">
        <x:v>feedback</x:v>
      </x:c>
      <x:c r="G277" s="69" t="str">
        <x:v>src/trace_net/feedback/</x:v>
      </x:c>
      <x:c r="H277" s="69" t="str">
        <x:v>src/trace_net/feedback/trace_net_feedback.py</x:v>
      </x:c>
      <x:c r="I277" s="69" t="str">
        <x:v>active library module</x:v>
      </x:c>
      <x:c r="J277" s="69" t="str">
        <x:v>MOVE_WITH_IMPORT_UPDATES_AND_COMPATIBILITY_WRAPPER</x:v>
      </x:c>
      <x:c r="K277" s="70" t="b">
        <x:v>1</x:v>
      </x:c>
      <x:c r="L277" s="70" t="b">
        <x:v>0</x:v>
      </x:c>
      <x:c r="M277" s="70" t="b">
        <x:v>1</x:v>
      </x:c>
      <x:c r="N277" s="69" t="n">
        <x:v>5</x:v>
      </x:c>
      <x:c r="O277" s="69" t="n">
        <x:v>0</x:v>
      </x:c>
      <x:c r="P277" s="69" t="str">
        <x:v>scripts/build_trace_net_feedback_graph.py; scripts/record_trace_net_feedback.py; tests/unit/test_tiff_trace_net_feedback.py; tests/unit/test_tiff_trace_net_feedback_quality.py; tiff/trace_net_feedback_quality.py</x:v>
      </x:c>
      <x:c r="Q277" s="71" t="n">
        <x:v>0.95</x:v>
      </x:c>
      <x:c r="R277" s="69" t="str">
        <x:v>feedback naming</x:v>
      </x:c>
      <x:c r="S277" s="69" t="str">
        <x:v>Primary implementation belongs to the feedback stage based on filename, imports, and inventory evidence.</x:v>
      </x:c>
      <x:c r="T277" s="69" t="str">
        <x:v>Update imports and retain the old tiff module as a wrapper when callers exist.</x:v>
      </x:c>
      <x:c r="U277" s="69" t="str"/>
      <x:c r="V277" s="69" t="str">
        <x:v>TRACE_NET_DIR</x:v>
      </x:c>
      <x:c r="W277" s="69" t="str"/>
      <x:c r="X277" s="72" t="n">
        <x:v>38560</x:v>
      </x:c>
      <x:c r="Y277" s="70" t="b">
        <x:v>1</x:v>
      </x:c>
      <x:c r="Z277" s="69" t="str">
        <x:v>Compatibility required</x:v>
      </x:c>
      <x:c r="AA277" s="69" t="str">
        <x:v>https://github.com/jwild2027/heico-ai-internship-summer-2026/blob/srv/tiff/trace_net_feedback.py</x:v>
      </x:c>
      <x:c r="AB277" s="69" t="str">
        <x:v>shared &lt;= string:schema; ingestion &lt;= path:tiff; tables &lt;= string:table; graph &lt;= symbol:graph, string:graph; embeddings &lt;= symbol:candidate_chunk; retrieval &lt;= string:retriev</x:v>
      </x:c>
    </x:row>
    <x:row r="278">
      <x:c r="A278" s="68" t="n">
        <x:v>277</x:v>
      </x:c>
      <x:c r="B278" s="69" t="str">
        <x:v>tiff/trace_net_feedback_ask_simulation.py</x:v>
      </x:c>
      <x:c r="C278" s="69" t="str">
        <x:v>trace_net_feedback_ask_simulation.py</x:v>
      </x:c>
      <x:c r="D278" s="69" t="str">
        <x:v>feedback</x:v>
      </x:c>
      <x:c r="E278" s="69" t="str">
        <x:v>ingestion, ocr, graph</x:v>
      </x:c>
      <x:c r="F278" s="69" t="str">
        <x:v>feedback</x:v>
      </x:c>
      <x:c r="G278" s="69" t="str">
        <x:v>src/trace_net/feedback/</x:v>
      </x:c>
      <x:c r="H278" s="69" t="str">
        <x:v>src/trace_net/feedback/trace_net_feedback_ask_simulation.py</x:v>
      </x:c>
      <x:c r="I278" s="69" t="str">
        <x:v>active library module</x:v>
      </x:c>
      <x:c r="J278" s="69" t="str">
        <x:v>MOVE_WITH_IMPORT_UPDATES_AND_COMPATIBILITY_WRAPPER</x:v>
      </x:c>
      <x:c r="K278" s="70" t="b">
        <x:v>1</x:v>
      </x:c>
      <x:c r="L278" s="70" t="b">
        <x:v>0</x:v>
      </x:c>
      <x:c r="M278" s="70" t="b">
        <x:v>1</x:v>
      </x:c>
      <x:c r="N278" s="69" t="n">
        <x:v>2</x:v>
      </x:c>
      <x:c r="O278" s="69" t="n">
        <x:v>0</x:v>
      </x:c>
      <x:c r="P278" s="69" t="str">
        <x:v>scripts/simulate_trace_net_feedback_ask.py; tests/unit/test_tiff_trace_net_feedback_ask_simulation.py</x:v>
      </x:c>
      <x:c r="Q278" s="71" t="n">
        <x:v>0.95</x:v>
      </x:c>
      <x:c r="R278" s="69" t="str">
        <x:v>feedback naming</x:v>
      </x:c>
      <x:c r="S278" s="69" t="str">
        <x:v>Primary implementation belongs to the feedback stage based on filename, imports, and inventory evidence.</x:v>
      </x:c>
      <x:c r="T278" s="69" t="str">
        <x:v>Update imports and retain the old tiff module as a wrapper when callers exist.</x:v>
      </x:c>
      <x:c r="U278" s="69" t="str"/>
      <x:c r="V278" s="69" t="str">
        <x:v>TRACE_NET_DIR</x:v>
      </x:c>
      <x:c r="W278" s="69" t="str"/>
      <x:c r="X278" s="72" t="n">
        <x:v>34697</x:v>
      </x:c>
      <x:c r="Y278" s="70" t="b">
        <x:v>1</x:v>
      </x:c>
      <x:c r="Z278" s="69" t="str">
        <x:v>Compatibility required</x:v>
      </x:c>
      <x:c r="AA278" s="69" t="str">
        <x:v>https://github.com/jwild2027/heico-ai-internship-summer-2026/blob/srv/tiff/trace_net_feedback_ask_simulation.py</x:v>
      </x:c>
      <x:c r="AB278" s="69" t="str">
        <x:v>ingestion &lt;= path:tiff, symbol:tiff, string:tiff; ocr &lt;= symbol:ocr, string:ocr; tables &lt;= string:ipl; graph &lt;= symbol:graph, string:graph; llm_writing &lt;= string:answer_draft; validation &lt;= string:consensus</x:v>
      </x:c>
    </x:row>
    <x:row r="279">
      <x:c r="A279" s="68" t="n">
        <x:v>278</x:v>
      </x:c>
      <x:c r="B279" s="69" t="str">
        <x:v>tiff/trace_net_feedback_ask_simulation_quality.py</x:v>
      </x:c>
      <x:c r="C279" s="69" t="str">
        <x:v>trace_net_feedback_ask_simulation_quality.py</x:v>
      </x:c>
      <x:c r="D279" s="69" t="str">
        <x:v>feedback</x:v>
      </x:c>
      <x:c r="E279" s="69" t="str">
        <x:v>ingestion, benchmarks</x:v>
      </x:c>
      <x:c r="F279" s="69" t="str">
        <x:v>validation</x:v>
      </x:c>
      <x:c r="G279" s="69" t="str">
        <x:v>src/trace_net/validation/</x:v>
      </x:c>
      <x:c r="H279" s="69" t="str">
        <x:v>src/trace_net/validation/trace_net_feedback_ask_simulation_quality.py</x:v>
      </x:c>
      <x:c r="I279" s="69" t="str">
        <x:v>quality validator module</x:v>
      </x:c>
      <x:c r="J279" s="69" t="str">
        <x:v>MOVE_WITH_IMPORT_UPDATES_AND_COMPATIBILITY_WRAPPER</x:v>
      </x:c>
      <x:c r="K279" s="70" t="b">
        <x:v>1</x:v>
      </x:c>
      <x:c r="L279" s="70" t="b">
        <x:v>0</x:v>
      </x:c>
      <x:c r="M279" s="70" t="b">
        <x:v>1</x:v>
      </x:c>
      <x:c r="N279" s="69" t="n">
        <x:v>2</x:v>
      </x:c>
      <x:c r="O279" s="69" t="n">
        <x:v>0</x:v>
      </x:c>
      <x:c r="P279" s="69" t="str">
        <x:v>scripts/check_trace_net_feedback_ask_simulation_quality.py; tests/unit/test_tiff_trace_net_feedback_ask_simulation_quality.py</x:v>
      </x:c>
      <x:c r="Q279" s="71" t="n">
        <x:v>0.97</x:v>
      </x:c>
      <x:c r="R279" s="69" t="str">
        <x:v>feedback naming</x:v>
      </x:c>
      <x:c r="S279" s="69" t="str">
        <x:v>Quality logic is reusable source code for the feedback stage.</x:v>
      </x:c>
      <x:c r="T279" s="69" t="str">
        <x:v>Update test and script imports; retain the old tiff import as a thin wrapper until PASS.</x:v>
      </x:c>
      <x:c r="U279" s="69" t="str"/>
      <x:c r="V279" s="69" t="str"/>
      <x:c r="W279" s="69" t="str"/>
      <x:c r="X279" s="72" t="n">
        <x:v>14261</x:v>
      </x:c>
      <x:c r="Y279" s="70" t="b">
        <x:v>1</x:v>
      </x:c>
      <x:c r="Z279" s="69" t="str">
        <x:v>Compatibility required</x:v>
      </x:c>
      <x:c r="AA279" s="69" t="str">
        <x:v>https://github.com/jwild2027/heico-ai-internship-summer-2026/blob/srv/tiff/trace_net_feedback_ask_simulation_quality.py</x:v>
      </x:c>
      <x:c r="AB279" s="69" t="str">
        <x:v>ingestion &lt;= path:tiff, string:tiff; ocr &lt;= string:ocr; graph &lt;= string:graph; serving &lt;= import:sse; feedback &lt;= path:feedback, symbol:feedback, string:feedback; benchmarks &lt;= symbol:eval</x:v>
      </x:c>
    </x:row>
    <x:row r="280">
      <x:c r="A280" s="68" t="n">
        <x:v>279</x:v>
      </x:c>
      <x:c r="B280" s="69" t="str">
        <x:v>tiff/trace_net_feedback_memory_v1.py</x:v>
      </x:c>
      <x:c r="C280" s="69" t="str">
        <x:v>trace_net_feedback_memory_v1.py</x:v>
      </x:c>
      <x:c r="D280" s="69" t="str">
        <x:v>feedback</x:v>
      </x:c>
      <x:c r="E280" s="69" t="str">
        <x:v>graph</x:v>
      </x:c>
      <x:c r="F280" s="69" t="str">
        <x:v>feedback</x:v>
      </x:c>
      <x:c r="G280" s="69" t="str">
        <x:v>src/trace_net/feedback/</x:v>
      </x:c>
      <x:c r="H280" s="69" t="str">
        <x:v>src/trace_net/feedback/trace_net_feedback_memory_v1.py</x:v>
      </x:c>
      <x:c r="I280" s="69" t="str">
        <x:v>active library module</x:v>
      </x:c>
      <x:c r="J280" s="69" t="str">
        <x:v>MOVE_WITH_IMPORT_UPDATES_AND_COMPATIBILITY_WRAPPER</x:v>
      </x:c>
      <x:c r="K280" s="70" t="b">
        <x:v>1</x:v>
      </x:c>
      <x:c r="L280" s="70" t="b">
        <x:v>0</x:v>
      </x:c>
      <x:c r="M280" s="70" t="b">
        <x:v>1</x:v>
      </x:c>
      <x:c r="N280" s="69" t="n">
        <x:v>6</x:v>
      </x:c>
      <x:c r="O280" s="69" t="n">
        <x:v>0</x:v>
      </x:c>
      <x:c r="P280" s="69" t="str">
        <x:v>scripts/build_trace_net_feedback_memory_v1.py; scripts/check_trace_net_feedback_memory_v1_quality.py; scripts/init_trace_net_feedback_memory_v1.py; scripts/record_trace_net_feedback_v1.py; tests/unit/test_trace_net_feedback_memory_v1.py; tests/unit/test_trace_net_feedback_memory_v1_quality.py</x:v>
      </x:c>
      <x:c r="Q280" s="71" t="n">
        <x:v>0.95</x:v>
      </x:c>
      <x:c r="R280" s="69" t="str">
        <x:v>feedback naming</x:v>
      </x:c>
      <x:c r="S280" s="69" t="str">
        <x:v>Primary implementation belongs to the feedback stage based on filename, imports, and inventory evidence.</x:v>
      </x:c>
      <x:c r="T280" s="69" t="str">
        <x:v>Update imports and retain the old tiff module as a wrapper when callers exist.</x:v>
      </x:c>
      <x:c r="U280" s="69" t="str"/>
      <x:c r="V280" s="69" t="str"/>
      <x:c r="W280" s="69" t="str"/>
      <x:c r="X280" s="72" t="n">
        <x:v>40254</x:v>
      </x:c>
      <x:c r="Y280" s="70" t="b">
        <x:v>1</x:v>
      </x:c>
      <x:c r="Z280" s="69" t="str">
        <x:v>Compatibility required</x:v>
      </x:c>
      <x:c r="AA280" s="69" t="str">
        <x:v>https://github.com/jwild2027/heico-ai-internship-summer-2026/blob/srv/tiff/trace_net_feedback_memory_v1.py</x:v>
      </x:c>
      <x:c r="AB280" s="69" t="str">
        <x:v>shared &lt;= symbol:schema, string:schema; ingestion &lt;= path:tiff, string:convert; ocr &lt;= string:ocr; visual &lt;= string:visual, string:visual_region; tables &lt;= symbol:table, string:table, string:table_cell, string:table_row; graph &lt;= symbol:community, symbol:leiden, string:community, string:leiden</x:v>
      </x:c>
    </x:row>
    <x:row r="281">
      <x:c r="A281" s="68" t="n">
        <x:v>280</x:v>
      </x:c>
      <x:c r="B281" s="69" t="str">
        <x:v>tiff/trace_net_feedback_quality.py</x:v>
      </x:c>
      <x:c r="C281" s="69" t="str">
        <x:v>trace_net_feedback_quality.py</x:v>
      </x:c>
      <x:c r="D281" s="69" t="str">
        <x:v>feedback</x:v>
      </x:c>
      <x:c r="E281" s="69" t="str">
        <x:v>ingestion</x:v>
      </x:c>
      <x:c r="F281" s="69" t="str">
        <x:v>validation</x:v>
      </x:c>
      <x:c r="G281" s="69" t="str">
        <x:v>src/trace_net/validation/</x:v>
      </x:c>
      <x:c r="H281" s="69" t="str">
        <x:v>src/trace_net/validation/trace_net_feedback_quality.py</x:v>
      </x:c>
      <x:c r="I281" s="69" t="str">
        <x:v>quality validator module</x:v>
      </x:c>
      <x:c r="J281" s="69" t="str">
        <x:v>MOVE_WITH_IMPORT_UPDATES_AND_COMPATIBILITY_WRAPPER</x:v>
      </x:c>
      <x:c r="K281" s="70" t="b">
        <x:v>1</x:v>
      </x:c>
      <x:c r="L281" s="70" t="b">
        <x:v>0</x:v>
      </x:c>
      <x:c r="M281" s="70" t="b">
        <x:v>1</x:v>
      </x:c>
      <x:c r="N281" s="69" t="n">
        <x:v>2</x:v>
      </x:c>
      <x:c r="O281" s="69" t="n">
        <x:v>0</x:v>
      </x:c>
      <x:c r="P281" s="69" t="str">
        <x:v>scripts/check_trace_net_feedback_quality.py; tests/unit/test_tiff_trace_net_feedback_quality.py</x:v>
      </x:c>
      <x:c r="Q281" s="71" t="n">
        <x:v>0.97</x:v>
      </x:c>
      <x:c r="R281" s="69" t="str">
        <x:v>feedback naming</x:v>
      </x:c>
      <x:c r="S281" s="69" t="str">
        <x:v>Quality logic is reusable source code for the feedback stage.</x:v>
      </x:c>
      <x:c r="T281" s="69" t="str">
        <x:v>Update test and script imports; retain the old tiff import as a thin wrapper until PASS.</x:v>
      </x:c>
      <x:c r="U281" s="69" t="str"/>
      <x:c r="V281" s="69" t="str">
        <x:v>TRACE_NET_DIR</x:v>
      </x:c>
      <x:c r="W281" s="69" t="str"/>
      <x:c r="X281" s="72" t="n">
        <x:v>9841</x:v>
      </x:c>
      <x:c r="Y281" s="70" t="b">
        <x:v>1</x:v>
      </x:c>
      <x:c r="Z281" s="69" t="str">
        <x:v>Compatibility required</x:v>
      </x:c>
      <x:c r="AA281" s="69" t="str">
        <x:v>https://github.com/jwild2027/heico-ai-internship-summer-2026/blob/srv/tiff/trace_net_feedback_quality.py</x:v>
      </x:c>
      <x:c r="AB281" s="69" t="str">
        <x:v>ingestion &lt;= path:tiff; graph &lt;= symbol:graph, string:graph; validation &lt;= string:validation; serving &lt;= import:sse; feedback &lt;= path:feedback, symbol:feedback, symbol:policy_signal, import:feedback, string:feedback, string:feedback_event, string:policy_signal, string:thumbs_down; referenced_by_count=3</x:v>
      </x:c>
    </x:row>
    <x:row r="282">
      <x:c r="A282" s="68" t="n">
        <x:v>281</x:v>
      </x:c>
      <x:c r="B282" s="69" t="str">
        <x:v>tiff/trace_net_feedback_search_simulation.py</x:v>
      </x:c>
      <x:c r="C282" s="69" t="str">
        <x:v>trace_net_feedback_search_simulation.py</x:v>
      </x:c>
      <x:c r="D282" s="69" t="str">
        <x:v>feedback</x:v>
      </x:c>
      <x:c r="E282" s="69" t="str">
        <x:v>ingestion</x:v>
      </x:c>
      <x:c r="F282" s="69" t="str">
        <x:v>retrieval</x:v>
      </x:c>
      <x:c r="G282" s="69" t="str">
        <x:v>src/trace_net/retrieval/</x:v>
      </x:c>
      <x:c r="H282" s="69" t="str">
        <x:v>src/trace_net/retrieval/trace_net_feedback_search_simulation.py</x:v>
      </x:c>
      <x:c r="I282" s="69" t="str">
        <x:v>active library module</x:v>
      </x:c>
      <x:c r="J282" s="69" t="str">
        <x:v>MOVE_WITH_IMPORT_UPDATES_AND_COMPATIBILITY_WRAPPER</x:v>
      </x:c>
      <x:c r="K282" s="70" t="b">
        <x:v>1</x:v>
      </x:c>
      <x:c r="L282" s="70" t="b">
        <x:v>0</x:v>
      </x:c>
      <x:c r="M282" s="70" t="b">
        <x:v>1</x:v>
      </x:c>
      <x:c r="N282" s="69" t="n">
        <x:v>4</x:v>
      </x:c>
      <x:c r="O282" s="69" t="n">
        <x:v>0</x:v>
      </x:c>
      <x:c r="P282" s="69" t="str">
        <x:v>scripts/simulate_trace_net_feedback_search.py; tests/unit/test_tiff_trace_net_feedback_search_simulation.py; tests/unit/test_tiff_trace_net_feedback_search_simulation_quality.py; tiff/trace_net_feedback_search_simulation_quality.py</x:v>
      </x:c>
      <x:c r="Q282" s="71" t="n">
        <x:v>0.95</x:v>
      </x:c>
      <x:c r="R282" s="69" t="str">
        <x:v>retrieval/search naming</x:v>
      </x:c>
      <x:c r="S282" s="69" t="str">
        <x:v>Primary implementation belongs to the retrieval stage based on filename, imports, and inventory evidence.</x:v>
      </x:c>
      <x:c r="T282" s="69" t="str">
        <x:v>Update imports and retain the old tiff module as a wrapper when callers exist.</x:v>
      </x:c>
      <x:c r="U282" s="69" t="str"/>
      <x:c r="V282" s="69" t="str">
        <x:v>TRACE_NET_DIR</x:v>
      </x:c>
      <x:c r="W282" s="69" t="str"/>
      <x:c r="X282" s="72" t="n">
        <x:v>26781</x:v>
      </x:c>
      <x:c r="Y282" s="70" t="b">
        <x:v>1</x:v>
      </x:c>
      <x:c r="Z282" s="69" t="str">
        <x:v>Compatibility required</x:v>
      </x:c>
      <x:c r="AA282" s="69" t="str">
        <x:v>https://github.com/jwild2027/heico-ai-internship-summer-2026/blob/srv/tiff/trace_net_feedback_search_simulation.py</x:v>
      </x:c>
      <x:c r="AB282" s="69" t="str">
        <x:v>ingestion &lt;= path:tiff; tables &lt;= symbol:table; graph &lt;= symbol:graph, string:graph; validation &lt;= string:consensus; serving &lt;= import:sse; feedback &lt;= path:feedback, symbol:feedback, string:feedback, string:policy_signal</x:v>
      </x:c>
    </x:row>
    <x:row r="283">
      <x:c r="A283" s="68" t="n">
        <x:v>282</x:v>
      </x:c>
      <x:c r="B283" s="69" t="str">
        <x:v>tiff/trace_net_feedback_search_simulation_quality.py</x:v>
      </x:c>
      <x:c r="C283" s="69" t="str">
        <x:v>trace_net_feedback_search_simulation_quality.py</x:v>
      </x:c>
      <x:c r="D283" s="69" t="str">
        <x:v>feedback</x:v>
      </x:c>
      <x:c r="E283" s="69" t="str">
        <x:v>ingestion</x:v>
      </x:c>
      <x:c r="F283" s="69" t="str">
        <x:v>retrieval</x:v>
      </x:c>
      <x:c r="G283" s="69" t="str">
        <x:v>src/trace_net/retrieval/quality/</x:v>
      </x:c>
      <x:c r="H283" s="69" t="str">
        <x:v>src/trace_net/retrieval/quality/trace_net_feedback_search_simulation_quality.py</x:v>
      </x:c>
      <x:c r="I283" s="69" t="str">
        <x:v>quality validator module</x:v>
      </x:c>
      <x:c r="J283" s="69" t="str">
        <x:v>MOVE_WITH_IMPORT_UPDATES_AND_COMPATIBILITY_WRAPPER</x:v>
      </x:c>
      <x:c r="K283" s="70" t="b">
        <x:v>1</x:v>
      </x:c>
      <x:c r="L283" s="70" t="b">
        <x:v>0</x:v>
      </x:c>
      <x:c r="M283" s="70" t="b">
        <x:v>1</x:v>
      </x:c>
      <x:c r="N283" s="69" t="n">
        <x:v>2</x:v>
      </x:c>
      <x:c r="O283" s="69" t="n">
        <x:v>0</x:v>
      </x:c>
      <x:c r="P283" s="69" t="str">
        <x:v>scripts/check_trace_net_feedback_search_simulation_quality.py; tests/unit/test_tiff_trace_net_feedback_search_simulation_quality.py</x:v>
      </x:c>
      <x:c r="Q283" s="71" t="n">
        <x:v>0.97</x:v>
      </x:c>
      <x:c r="R283" s="69" t="str">
        <x:v>retrieval/search naming</x:v>
      </x:c>
      <x:c r="S283" s="69" t="str">
        <x:v>Quality logic is reusable source code for the retrieval stage.</x:v>
      </x:c>
      <x:c r="T283" s="69" t="str">
        <x:v>Update test and script imports; retain the old tiff import as a thin wrapper until PASS.</x:v>
      </x:c>
      <x:c r="U283" s="69" t="str"/>
      <x:c r="V283" s="69" t="str"/>
      <x:c r="W283" s="69" t="str"/>
      <x:c r="X283" s="72" t="n">
        <x:v>12269</x:v>
      </x:c>
      <x:c r="Y283" s="70" t="b">
        <x:v>1</x:v>
      </x:c>
      <x:c r="Z283" s="69" t="str">
        <x:v>Compatibility required</x:v>
      </x:c>
      <x:c r="AA283" s="69" t="str">
        <x:v>https://github.com/jwild2027/heico-ai-internship-summer-2026/blob/srv/tiff/trace_net_feedback_search_simulation_quality.py</x:v>
      </x:c>
      <x:c r="AB283" s="69" t="str">
        <x:v>ingestion &lt;= path:tiff; graph &lt;= symbol:graph, string:graph; serving &lt;= import:sse; feedback &lt;= path:feedback, symbol:feedback, import:feedback, string:feedback; referenced_by_count=2; imported_by_count=2</x:v>
      </x:c>
    </x:row>
    <x:row r="284">
      <x:c r="A284" s="68" t="n">
        <x:v>283</x:v>
      </x:c>
      <x:c r="B284" s="69" t="str">
        <x:v>tiff/trace_net_figure_chart_understanding_v1.py</x:v>
      </x:c>
      <x:c r="C284" s="69" t="str">
        <x:v>trace_net_figure_chart_understanding_v1.py</x:v>
      </x:c>
      <x:c r="D284" s="69" t="str">
        <x:v>visual</x:v>
      </x:c>
      <x:c r="E284" s="69" t="str">
        <x:v>embeddings, shared, ingestion, tables</x:v>
      </x:c>
      <x:c r="F284" s="69" t="str">
        <x:v>visual</x:v>
      </x:c>
      <x:c r="G284" s="69" t="str">
        <x:v>src/trace_net/visual/</x:v>
      </x:c>
      <x:c r="H284" s="69" t="str">
        <x:v>src/trace_net/visual/trace_net_figure_chart_understanding_v1.py</x:v>
      </x:c>
      <x:c r="I284" s="69" t="str">
        <x:v>active library module</x:v>
      </x:c>
      <x:c r="J284" s="69" t="str">
        <x:v>MOVE_WITH_IMPORT_UPDATES_AND_COMPATIBILITY_WRAPPER</x:v>
      </x:c>
      <x:c r="K284" s="70" t="b">
        <x:v>1</x:v>
      </x:c>
      <x:c r="L284" s="70" t="b">
        <x:v>0</x:v>
      </x:c>
      <x:c r="M284" s="70" t="b">
        <x:v>1</x:v>
      </x:c>
      <x:c r="N284" s="69" t="n">
        <x:v>2</x:v>
      </x:c>
      <x:c r="O284" s="69" t="n">
        <x:v>0</x:v>
      </x:c>
      <x:c r="P284" s="69" t="str">
        <x:v>scripts/build_trace_net_figure_chart_understanding_v1.py; scripts/check_trace_net_figure_chart_understanding_v1_quality.py</x:v>
      </x:c>
      <x:c r="Q284" s="71" t="n">
        <x:v>0.95</x:v>
      </x:c>
      <x:c r="R284" s="69" t="str">
        <x:v>visual/image/vision naming</x:v>
      </x:c>
      <x:c r="S284" s="69" t="str">
        <x:v>Primary implementation belongs to the visual stage based on filename, imports, and inventory evidence.</x:v>
      </x:c>
      <x:c r="T284" s="69" t="str">
        <x:v>Update imports and retain the old tiff module as a wrapper when callers exist.</x:v>
      </x:c>
      <x:c r="U284" s="69" t="str"/>
      <x:c r="V284" s="69" t="str"/>
      <x:c r="W284" s="69" t="str"/>
      <x:c r="X284" s="72" t="n">
        <x:v>42968</x:v>
      </x:c>
      <x:c r="Y284" s="70" t="b">
        <x:v>1</x:v>
      </x:c>
      <x:c r="Z284" s="69" t="str">
        <x:v>Compatibility required</x:v>
      </x:c>
      <x:c r="AA284" s="69" t="str">
        <x:v>https://github.com/jwild2027/heico-ai-internship-summer-2026/blob/srv/tiff/trace_net_figure_chart_understanding_v1.py</x:v>
      </x:c>
      <x:c r="AB284" s="69" t="str">
        <x:v>shared &lt;= symbol:common, string:helper, string:schema, string:trust_tier; ingestion &lt;= path:tiff, string:tiff; ocr &lt;= string:ocr; visual &lt;= symbol:visual, symbol:visual_region, string:callout, string:diagram, string:visual, string:visual_region; tables &lt;= symbol:table, string:ipl, string:parts_list, string:table; graph &lt;= symbol:graph, string:community, string:graph, string:leiden</x:v>
      </x:c>
    </x:row>
    <x:row r="285">
      <x:c r="A285" s="68" t="n">
        <x:v>284</x:v>
      </x:c>
      <x:c r="B285" s="69" t="str">
        <x:v>tiff/trace_net_figure_item_fast_answer_composer_v1.py</x:v>
      </x:c>
      <x:c r="C285" s="69" t="str">
        <x:v>trace_net_figure_item_fast_answer_composer_v1.py</x:v>
      </x:c>
      <x:c r="D285" s="69" t="str">
        <x:v>ingestion</x:v>
      </x:c>
      <x:c r="E285" s="69" t="str">
        <x:v>benchmarks</x:v>
      </x:c>
      <x:c r="F285" s="69" t="str">
        <x:v>visual</x:v>
      </x:c>
      <x:c r="G285" s="69" t="str">
        <x:v>src/trace_net/visual/</x:v>
      </x:c>
      <x:c r="H285" s="69" t="str">
        <x:v>src/trace_net/visual/trace_net_figure_item_fast_answer_composer_v1.py</x:v>
      </x:c>
      <x:c r="I285" s="69" t="str">
        <x:v>active library module</x:v>
      </x:c>
      <x:c r="J285" s="69" t="str">
        <x:v>MOVE_WITH_IMPORT_UPDATES_AND_COMPATIBILITY_WRAPPER</x:v>
      </x:c>
      <x:c r="K285" s="70" t="b">
        <x:v>1</x:v>
      </x:c>
      <x:c r="L285" s="70" t="b">
        <x:v>0</x:v>
      </x:c>
      <x:c r="M285" s="70" t="b">
        <x:v>1</x:v>
      </x:c>
      <x:c r="N285" s="69" t="n">
        <x:v>4</x:v>
      </x:c>
      <x:c r="O285" s="69" t="n">
        <x:v>0</x:v>
      </x:c>
      <x:c r="P285" s="69" t="str">
        <x:v>scripts/build_trace_net_figure_item_fast_answer_composer_v1.py; scripts/check_trace_net_figure_item_fast_answer_composer_v1_quality.py; tests/unit/test_trace_net_figure_item_fast_answer_composer_v1.py; tests/unit/test_trace_net_figure_item_fast_answer_composer_v1_quality.py</x:v>
      </x:c>
      <x:c r="Q285" s="71" t="n">
        <x:v>0.95</x:v>
      </x:c>
      <x:c r="R285" s="69" t="str">
        <x:v>visual/image/vision naming</x:v>
      </x:c>
      <x:c r="S285" s="69" t="str">
        <x:v>Primary implementation belongs to the visual stage based on filename, imports, and inventory evidence.</x:v>
      </x:c>
      <x:c r="T285" s="69" t="str">
        <x:v>Update imports and retain the old tiff module as a wrapper when callers exist.</x:v>
      </x:c>
      <x:c r="U285" s="69" t="str"/>
      <x:c r="V285" s="69" t="str">
        <x:v>TRACE_NET_FIGURE_ITEM_FAST_ANSWER_COMPOSER_BUILT</x:v>
      </x:c>
      <x:c r="W285" s="69" t="str"/>
      <x:c r="X285" s="72" t="n">
        <x:v>19045</x:v>
      </x:c>
      <x:c r="Y285" s="70" t="b">
        <x:v>1</x:v>
      </x:c>
      <x:c r="Z285" s="69" t="str">
        <x:v>Compatibility required</x:v>
      </x:c>
      <x:c r="AA285" s="69" t="str">
        <x:v>https://github.com/jwild2027/heico-ai-internship-summer-2026/blob/srv/tiff/trace_net_figure_item_fast_answer_composer_v1.py</x:v>
      </x:c>
      <x:c r="AB285" s="69" t="str">
        <x:v>ingestion &lt;= path:tiff; graph &lt;= string:graph, string:leiden; embeddings &lt;= string:qdrant; retrieval &lt;= string:opensearch; context &lt;= string:context_pack; benchmarks &lt;= string:quality_check</x:v>
      </x:c>
    </x:row>
    <x:row r="286">
      <x:c r="A286" s="68" t="n">
        <x:v>285</x:v>
      </x:c>
      <x:c r="B286" s="69" t="str">
        <x:v>tiff/trace_net_final_answer_gate_v1.py</x:v>
      </x:c>
      <x:c r="C286" s="69" t="str">
        <x:v>trace_net_final_answer_gate_v1.py</x:v>
      </x:c>
      <x:c r="D286" s="69" t="str">
        <x:v>llm_writing</x:v>
      </x:c>
      <x:c r="E286" s="69" t="str">
        <x:v>serving, ingestion, benchmarks</x:v>
      </x:c>
      <x:c r="F286" s="69" t="str">
        <x:v>validation</x:v>
      </x:c>
      <x:c r="G286" s="69" t="str">
        <x:v>src/trace_net/validation/</x:v>
      </x:c>
      <x:c r="H286" s="69" t="str">
        <x:v>src/trace_net/validation/trace_net_final_answer_gate_v1.py</x:v>
      </x:c>
      <x:c r="I286" s="69" t="str">
        <x:v>active library module</x:v>
      </x:c>
      <x:c r="J286" s="69" t="str">
        <x:v>MOVE_WITH_PROTECTED_COMPATIBILITY_WRAPPER</x:v>
      </x:c>
      <x:c r="K286" s="70" t="b">
        <x:v>1</x:v>
      </x:c>
      <x:c r="L286" s="70" t="b">
        <x:v>1</x:v>
      </x:c>
      <x:c r="M286" s="70" t="b">
        <x:v>1</x:v>
      </x:c>
      <x:c r="N286" s="69" t="n">
        <x:v>2</x:v>
      </x:c>
      <x:c r="O286" s="69" t="n">
        <x:v>0</x:v>
      </x:c>
      <x:c r="P286" s="69" t="str">
        <x:v>scripts/build_trace_net_final_answer_gate_v1.py; scripts/check_trace_net_final_answer_gate_v1_quality.py</x:v>
      </x:c>
      <x:c r="Q286" s="71" t="n">
        <x:v>0.95</x:v>
      </x:c>
      <x:c r="R286" s="69" t="str">
        <x:v>cross-cutting validation/reliability</x:v>
      </x:c>
      <x:c r="S286" s="69" t="str">
        <x:v>Primary implementation belongs to the validation stage based on filename, imports, and inventory evidence.</x:v>
      </x:c>
      <x:c r="T286" s="69" t="str">
        <x:v>Update imports and retain the old tiff module as a wrapper when callers exist.</x:v>
      </x:c>
      <x:c r="U286" s="69" t="str">
        <x:v>11434</x:v>
      </x:c>
      <x:c r="V286" s="69" t="str"/>
      <x:c r="W286" s="69" t="str"/>
      <x:c r="X286" s="72" t="n">
        <x:v>52791</x:v>
      </x:c>
      <x:c r="Y286" s="70" t="b">
        <x:v>1</x:v>
      </x:c>
      <x:c r="Z286" s="69" t="str">
        <x:v>Protected runtime</x:v>
      </x:c>
      <x:c r="AA286" s="69" t="str">
        <x:v>https://github.com/jwild2027/heico-ai-internship-summer-2026/blob/srv/tiff/trace_net_final_answer_gate_v1.py</x:v>
      </x:c>
      <x:c r="AB286" s="69" t="str">
        <x:v>shared &lt;= string:helper, string:schema, string:trust_tier; ingestion &lt;= path:tiff, string:tiff; ocr &lt;= string:ocr; visual &lt;= string:visual; tables &lt;= symbol:table, string:table; embeddings &lt;= string:embedding, string:embedding_candidate</x:v>
      </x:c>
    </x:row>
    <x:row r="287">
      <x:c r="A287" s="68" t="n">
        <x:v>286</x:v>
      </x:c>
      <x:c r="B287" s="69" t="str">
        <x:v>tiff/trace_net_fishnet_accepted_route_manifest_v1.py</x:v>
      </x:c>
      <x:c r="C287" s="69" t="str">
        <x:v>trace_net_fishnet_accepted_route_manifest_v1.py</x:v>
      </x:c>
      <x:c r="D287" s="69" t="str">
        <x:v>ocr</x:v>
      </x:c>
      <x:c r="E287" s="69" t="str">
        <x:v>ingestion</x:v>
      </x:c>
      <x:c r="F287" s="69" t="str">
        <x:v>ocr</x:v>
      </x:c>
      <x:c r="G287" s="69" t="str">
        <x:v>src/trace_net/ocr/</x:v>
      </x:c>
      <x:c r="H287" s="69" t="str">
        <x:v>src/trace_net/ocr/trace_net_fishnet_accepted_route_manifest_v1.py</x:v>
      </x:c>
      <x:c r="I287" s="69" t="str">
        <x:v>artifact builder implementation</x:v>
      </x:c>
      <x:c r="J287" s="69" t="str">
        <x:v>MOVE_WITH_IMPORT_UPDATES_AND_COMPATIBILITY_WRAPPER</x:v>
      </x:c>
      <x:c r="K287" s="70" t="b">
        <x:v>1</x:v>
      </x:c>
      <x:c r="L287" s="70" t="b">
        <x:v>0</x:v>
      </x:c>
      <x:c r="M287" s="70" t="b">
        <x:v>1</x:v>
      </x:c>
      <x:c r="N287" s="69" t="n">
        <x:v>4</x:v>
      </x:c>
      <x:c r="O287" s="69" t="n">
        <x:v>0</x:v>
      </x:c>
      <x:c r="P287" s="69" t="str">
        <x:v>scripts/build_trace_net_fishnet_accepted_route_manifest_v1.py; scripts/check_trace_net_fishnet_accepted_route_manifest_v1_quality.py; tests/unit/test_trace_net_fishnet_accepted_route_manifest_v1.py; tests/unit/test_trace_net_fishnet_accepted_route_manifest_v1_quality.py</x:v>
      </x:c>
      <x:c r="Q287" s="71" t="n">
        <x:v>0.96</x:v>
      </x:c>
      <x:c r="R287" s="69" t="str">
        <x:v>OCR/fishnet naming</x:v>
      </x:c>
      <x:c r="S287" s="69" t="str">
        <x:v>Build implementation is imported by active wrappers/tests and belongs to the ocr package.</x:v>
      </x:c>
      <x:c r="T287" s="69" t="str">
        <x:v>Update wrapper imports and compare generated artifact counts/checksums.</x:v>
      </x:c>
      <x:c r="U287" s="69" t="str"/>
      <x:c r="V287" s="69" t="str"/>
      <x:c r="W287" s="69" t="str"/>
      <x:c r="X287" s="72" t="n">
        <x:v>24630</x:v>
      </x:c>
      <x:c r="Y287" s="70" t="b">
        <x:v>1</x:v>
      </x:c>
      <x:c r="Z287" s="69" t="str">
        <x:v>Compatibility required</x:v>
      </x:c>
      <x:c r="AA287" s="69" t="str">
        <x:v>https://github.com/jwild2027/heico-ai-internship-summer-2026/blob/srv/tiff/trace_net_fishnet_accepted_route_manifest_v1.py</x:v>
      </x:c>
      <x:c r="AB287" s="69" t="str">
        <x:v>shared &lt;= symbol:contract, string:contract; ingestion &lt;= path:tiff, symbol:extract_page; ocr &lt;= path:fishnet, string:fishnet, string:ocr; embeddings &lt;= string:qdrant; retrieval &lt;= string:opensearch; router &lt;= string:route_confidence</x:v>
      </x:c>
    </x:row>
    <x:row r="288">
      <x:c r="A288" s="68" t="n">
        <x:v>287</x:v>
      </x:c>
      <x:c r="B288" s="69" t="str">
        <x:v>tiff/trace_net_fishnet_ocr_grid_v1.py</x:v>
      </x:c>
      <x:c r="C288" s="69" t="str">
        <x:v>trace_net_fishnet_ocr_grid_v1.py</x:v>
      </x:c>
      <x:c r="D288" s="69" t="str">
        <x:v>ocr</x:v>
      </x:c>
      <x:c r="E288" s="69" t="str">
        <x:v>ingestion</x:v>
      </x:c>
      <x:c r="F288" s="69" t="str">
        <x:v>ocr</x:v>
      </x:c>
      <x:c r="G288" s="69" t="str">
        <x:v>src/trace_net/ocr/</x:v>
      </x:c>
      <x:c r="H288" s="69" t="str">
        <x:v>src/trace_net/ocr/trace_net_fishnet_ocr_grid_v1.py</x:v>
      </x:c>
      <x:c r="I288" s="69" t="str">
        <x:v>active library module</x:v>
      </x:c>
      <x:c r="J288" s="69" t="str">
        <x:v>MOVE_WITH_IMPORT_UPDATES_AND_COMPATIBILITY_WRAPPER</x:v>
      </x:c>
      <x:c r="K288" s="70" t="b">
        <x:v>1</x:v>
      </x:c>
      <x:c r="L288" s="70" t="b">
        <x:v>0</x:v>
      </x:c>
      <x:c r="M288" s="70" t="b">
        <x:v>1</x:v>
      </x:c>
      <x:c r="N288" s="69" t="n">
        <x:v>4</x:v>
      </x:c>
      <x:c r="O288" s="69" t="n">
        <x:v>0</x:v>
      </x:c>
      <x:c r="P288" s="69" t="str">
        <x:v>scripts/build_trace_net_fishnet_ocr_grid_v1.py; scripts/check_trace_net_fishnet_ocr_grid_v1_quality.py; tests/unit/test_trace_net_fishnet_ocr_grid_v1.py; tests/unit/test_trace_net_fishnet_ocr_grid_v1_quality.py</x:v>
      </x:c>
      <x:c r="Q288" s="71" t="n">
        <x:v>0.95</x:v>
      </x:c>
      <x:c r="R288" s="69" t="str">
        <x:v>OCR/fishnet naming</x:v>
      </x:c>
      <x:c r="S288" s="69" t="str">
        <x:v>Primary implementation belongs to the ocr stage based on filename, imports, and inventory evidence.</x:v>
      </x:c>
      <x:c r="T288" s="69" t="str">
        <x:v>Update imports and retain the old tiff module as a wrapper when callers exist.</x:v>
      </x:c>
      <x:c r="U288" s="69" t="str"/>
      <x:c r="V288" s="69" t="str"/>
      <x:c r="W288" s="69" t="str"/>
      <x:c r="X288" s="72" t="n">
        <x:v>57469</x:v>
      </x:c>
      <x:c r="Y288" s="70" t="b">
        <x:v>1</x:v>
      </x:c>
      <x:c r="Z288" s="69" t="str">
        <x:v>Compatibility required</x:v>
      </x:c>
      <x:c r="AA288" s="69" t="str">
        <x:v>https://github.com/jwild2027/heico-ai-internship-summer-2026/blob/srv/tiff/trace_net_fishnet_ocr_grid_v1.py</x:v>
      </x:c>
      <x:c r="AB288" s="69" t="str">
        <x:v>shared &lt;= string:contract, string:helper; ingestion &lt;= path:tiff, symbol:page_image, string:preprocess, string:tiff; ocr &lt;= path:fishnet, path:ocr, symbol:fishnet, symbol:ocr, import:tesseract, string:fishnet, string:ocr, string:psm; visual &lt;= string:callout, string:image_visual, string:visual; tables &lt;= string:ipl, string:table; embeddings &lt;= string:qdrant</x:v>
      </x:c>
    </x:row>
    <x:row r="289">
      <x:c r="A289" s="68" t="n">
        <x:v>288</x:v>
      </x:c>
      <x:c r="B289" s="69" t="str">
        <x:v>tiff/trace_net_fishnet_retry_engine_v1.py</x:v>
      </x:c>
      <x:c r="C289" s="69" t="str">
        <x:v>trace_net_fishnet_retry_engine_v1.py</x:v>
      </x:c>
      <x:c r="D289" s="69" t="str">
        <x:v>ocr</x:v>
      </x:c>
      <x:c r="E289" s="69" t="str">
        <x:v>benchmarks, ingestion</x:v>
      </x:c>
      <x:c r="F289" s="69" t="str">
        <x:v>ocr</x:v>
      </x:c>
      <x:c r="G289" s="69" t="str">
        <x:v>src/trace_net/ocr/</x:v>
      </x:c>
      <x:c r="H289" s="69" t="str">
        <x:v>src/trace_net/ocr/trace_net_fishnet_retry_engine_v1.py</x:v>
      </x:c>
      <x:c r="I289" s="69" t="str">
        <x:v>active library module</x:v>
      </x:c>
      <x:c r="J289" s="69" t="str">
        <x:v>MOVE_WITH_IMPORT_UPDATES_AND_COMPATIBILITY_WRAPPER</x:v>
      </x:c>
      <x:c r="K289" s="70" t="b">
        <x:v>1</x:v>
      </x:c>
      <x:c r="L289" s="70" t="b">
        <x:v>0</x:v>
      </x:c>
      <x:c r="M289" s="70" t="b">
        <x:v>1</x:v>
      </x:c>
      <x:c r="N289" s="69" t="n">
        <x:v>4</x:v>
      </x:c>
      <x:c r="O289" s="69" t="n">
        <x:v>0</x:v>
      </x:c>
      <x:c r="P289" s="69" t="str">
        <x:v>scripts/build_trace_net_fishnet_retry_engine_v1.py; scripts/check_trace_net_fishnet_retry_engine_v1_quality.py; tests/unit/test_trace_net_fishnet_retry_engine_v1.py; tests/unit/test_trace_net_fishnet_retry_engine_v1_quality.py</x:v>
      </x:c>
      <x:c r="Q289" s="71" t="n">
        <x:v>0.95</x:v>
      </x:c>
      <x:c r="R289" s="69" t="str">
        <x:v>OCR/fishnet naming</x:v>
      </x:c>
      <x:c r="S289" s="69" t="str">
        <x:v>Primary implementation belongs to the ocr stage based on filename, imports, and inventory evidence.</x:v>
      </x:c>
      <x:c r="T289" s="69" t="str">
        <x:v>Update imports and retain the old tiff module as a wrapper when callers exist.</x:v>
      </x:c>
      <x:c r="U289" s="69" t="str"/>
      <x:c r="V289" s="69" t="str"/>
      <x:c r="W289" s="69" t="str"/>
      <x:c r="X289" s="72" t="n">
        <x:v>45647</x:v>
      </x:c>
      <x:c r="Y289" s="70" t="b">
        <x:v>1</x:v>
      </x:c>
      <x:c r="Z289" s="69" t="str">
        <x:v>Compatibility required</x:v>
      </x:c>
      <x:c r="AA289" s="69" t="str">
        <x:v>https://github.com/jwild2027/heico-ai-internship-summer-2026/blob/srv/tiff/trace_net_fishnet_retry_engine_v1.py</x:v>
      </x:c>
      <x:c r="AB289" s="69" t="str">
        <x:v>shared &lt;= string:schema; ingestion &lt;= path:tiff, string:inventory, string:tiff; ocr &lt;= path:fishnet, symbol:fishnet, symbol:ocr, string:fishnet, string:ocr; visual &lt;= string:callout, string:vision, string:visual; tables &lt;= symbol:table, string:table, string:table_cell, string:table_row; graph &lt;= string:graph</x:v>
      </x:c>
    </x:row>
    <x:row r="290">
      <x:c r="A290" s="68" t="n">
        <x:v>289</x:v>
      </x:c>
      <x:c r="B290" s="69" t="str">
        <x:v>tiff/trace_net_fishnet_retry_refinement_v1.py</x:v>
      </x:c>
      <x:c r="C290" s="69" t="str">
        <x:v>trace_net_fishnet_retry_refinement_v1.py</x:v>
      </x:c>
      <x:c r="D290" s="69" t="str">
        <x:v>ocr</x:v>
      </x:c>
      <x:c r="E290" s="69" t="str">
        <x:v>visual, benchmarks, tables, ingestion</x:v>
      </x:c>
      <x:c r="F290" s="69" t="str">
        <x:v>ocr</x:v>
      </x:c>
      <x:c r="G290" s="69" t="str">
        <x:v>src/trace_net/ocr/</x:v>
      </x:c>
      <x:c r="H290" s="69" t="str">
        <x:v>src/trace_net/ocr/trace_net_fishnet_retry_refinement_v1.py</x:v>
      </x:c>
      <x:c r="I290" s="69" t="str">
        <x:v>active library module</x:v>
      </x:c>
      <x:c r="J290" s="69" t="str">
        <x:v>MOVE_WITH_IMPORT_UPDATES_AND_COMPATIBILITY_WRAPPER</x:v>
      </x:c>
      <x:c r="K290" s="70" t="b">
        <x:v>1</x:v>
      </x:c>
      <x:c r="L290" s="70" t="b">
        <x:v>0</x:v>
      </x:c>
      <x:c r="M290" s="70" t="b">
        <x:v>1</x:v>
      </x:c>
      <x:c r="N290" s="69" t="n">
        <x:v>4</x:v>
      </x:c>
      <x:c r="O290" s="69" t="n">
        <x:v>0</x:v>
      </x:c>
      <x:c r="P290" s="69" t="str">
        <x:v>scripts/build_trace_net_fishnet_retry_refinement_v1.py; scripts/check_trace_net_fishnet_retry_refinement_v1_quality.py; tests/unit/test_trace_net_fishnet_retry_refinement_v1.py; tests/unit/test_trace_net_fishnet_retry_refinement_v1_quality.py</x:v>
      </x:c>
      <x:c r="Q290" s="71" t="n">
        <x:v>0.95</x:v>
      </x:c>
      <x:c r="R290" s="69" t="str">
        <x:v>OCR/fishnet naming</x:v>
      </x:c>
      <x:c r="S290" s="69" t="str">
        <x:v>Primary implementation belongs to the ocr stage based on filename, imports, and inventory evidence.</x:v>
      </x:c>
      <x:c r="T290" s="69" t="str">
        <x:v>Update imports and retain the old tiff module as a wrapper when callers exist.</x:v>
      </x:c>
      <x:c r="U290" s="69" t="str"/>
      <x:c r="V290" s="69" t="str"/>
      <x:c r="W290" s="69" t="str"/>
      <x:c r="X290" s="72" t="n">
        <x:v>36060</x:v>
      </x:c>
      <x:c r="Y290" s="70" t="b">
        <x:v>1</x:v>
      </x:c>
      <x:c r="Z290" s="69" t="str">
        <x:v>Compatibility required</x:v>
      </x:c>
      <x:c r="AA290" s="69" t="str">
        <x:v>https://github.com/jwild2027/heico-ai-internship-summer-2026/blob/srv/tiff/trace_net_fishnet_retry_refinement_v1.py</x:v>
      </x:c>
      <x:c r="AB290" s="69" t="str">
        <x:v>shared &lt;= string:schema; ingestion &lt;= path:tiff, string:inventory; ocr &lt;= path:fishnet, symbol:fishnet, string:fishnet, string:ocr; visual &lt;= symbol:visual, string:callout, string:diagram, string:vision, string:visual; tables &lt;= symbol:table, string:parts_list, string:table, string:table_cell, string:table_row; graph &lt;= string:graph</x:v>
      </x:c>
    </x:row>
    <x:row r="291">
      <x:c r="A291" s="68" t="n">
        <x:v>290</x:v>
      </x:c>
      <x:c r="B291" s="69" t="str">
        <x:v>tiff/trace_net_fishnet_route_dispatch_handoff_v1.py</x:v>
      </x:c>
      <x:c r="C291" s="69" t="str">
        <x:v>trace_net_fishnet_route_dispatch_handoff_v1.py</x:v>
      </x:c>
      <x:c r="D291" s="69" t="str">
        <x:v>ocr</x:v>
      </x:c>
      <x:c r="E291" s="69" t="str">
        <x:v>shared, ingestion, benchmarks</x:v>
      </x:c>
      <x:c r="F291" s="69" t="str">
        <x:v>ocr</x:v>
      </x:c>
      <x:c r="G291" s="69" t="str">
        <x:v>src/trace_net/ocr/</x:v>
      </x:c>
      <x:c r="H291" s="69" t="str">
        <x:v>src/trace_net/ocr/trace_net_fishnet_route_dispatch_handoff_v1.py</x:v>
      </x:c>
      <x:c r="I291" s="69" t="str">
        <x:v>active library module</x:v>
      </x:c>
      <x:c r="J291" s="69" t="str">
        <x:v>MOVE_WITH_IMPORT_UPDATES_AND_COMPATIBILITY_WRAPPER</x:v>
      </x:c>
      <x:c r="K291" s="70" t="b">
        <x:v>1</x:v>
      </x:c>
      <x:c r="L291" s="70" t="b">
        <x:v>0</x:v>
      </x:c>
      <x:c r="M291" s="70" t="b">
        <x:v>1</x:v>
      </x:c>
      <x:c r="N291" s="69" t="n">
        <x:v>4</x:v>
      </x:c>
      <x:c r="O291" s="69" t="n">
        <x:v>0</x:v>
      </x:c>
      <x:c r="P291" s="69" t="str">
        <x:v>scripts/build_trace_net_fishnet_route_dispatch_handoff_v1.py; scripts/check_trace_net_fishnet_route_dispatch_handoff_v1_quality.py; tests/unit/test_trace_net_fishnet_route_dispatch_handoff_v1.py; tests/unit/test_trace_net_fishnet_route_dispatch_handoff_v1_quality.py</x:v>
      </x:c>
      <x:c r="Q291" s="71" t="n">
        <x:v>0.95</x:v>
      </x:c>
      <x:c r="R291" s="69" t="str">
        <x:v>OCR/fishnet naming</x:v>
      </x:c>
      <x:c r="S291" s="69" t="str">
        <x:v>Primary implementation belongs to the ocr stage based on filename, imports, and inventory evidence.</x:v>
      </x:c>
      <x:c r="T291" s="69" t="str">
        <x:v>Update imports and retain the old tiff module as a wrapper when callers exist.</x:v>
      </x:c>
      <x:c r="U291" s="69" t="str"/>
      <x:c r="V291" s="69" t="str"/>
      <x:c r="W291" s="69" t="str"/>
      <x:c r="X291" s="72" t="n">
        <x:v>22395</x:v>
      </x:c>
      <x:c r="Y291" s="70" t="b">
        <x:v>1</x:v>
      </x:c>
      <x:c r="Z291" s="69" t="str">
        <x:v>Compatibility required</x:v>
      </x:c>
      <x:c r="AA291" s="69" t="str">
        <x:v>https://github.com/jwild2027/heico-ai-internship-summer-2026/blob/srv/tiff/trace_net_fishnet_route_dispatch_handoff_v1.py</x:v>
      </x:c>
      <x:c r="AB291" s="69" t="str">
        <x:v>shared &lt;= symbol:contract, string:contract, string:helper; ingestion &lt;= path:tiff; ocr &lt;= path:fishnet, string:fishnet; visual &lt;= string:callout, string:diagram, string:image_visual, string:visual; tables &lt;= string:table; embeddings &lt;= string:qdrant</x:v>
      </x:c>
    </x:row>
    <x:row r="292">
      <x:c r="A292" s="68" t="n">
        <x:v>291</x:v>
      </x:c>
      <x:c r="B292" s="69" t="str">
        <x:v>tiff/trace_net_fishnet_route_manifest_overlay_v1.py</x:v>
      </x:c>
      <x:c r="C292" s="69" t="str">
        <x:v>trace_net_fishnet_route_manifest_overlay_v1.py</x:v>
      </x:c>
      <x:c r="D292" s="69" t="str">
        <x:v>ocr</x:v>
      </x:c>
      <x:c r="E292" s="69" t="str">
        <x:v>ingestion, benchmarks</x:v>
      </x:c>
      <x:c r="F292" s="69" t="str">
        <x:v>ocr</x:v>
      </x:c>
      <x:c r="G292" s="69" t="str">
        <x:v>src/trace_net/ocr/</x:v>
      </x:c>
      <x:c r="H292" s="69" t="str">
        <x:v>src/trace_net/ocr/trace_net_fishnet_route_manifest_overlay_v1.py</x:v>
      </x:c>
      <x:c r="I292" s="69" t="str">
        <x:v>artifact builder implementation</x:v>
      </x:c>
      <x:c r="J292" s="69" t="str">
        <x:v>MOVE_WITH_IMPORT_UPDATES_AND_COMPATIBILITY_WRAPPER</x:v>
      </x:c>
      <x:c r="K292" s="70" t="b">
        <x:v>1</x:v>
      </x:c>
      <x:c r="L292" s="70" t="b">
        <x:v>0</x:v>
      </x:c>
      <x:c r="M292" s="70" t="b">
        <x:v>1</x:v>
      </x:c>
      <x:c r="N292" s="69" t="n">
        <x:v>4</x:v>
      </x:c>
      <x:c r="O292" s="69" t="n">
        <x:v>0</x:v>
      </x:c>
      <x:c r="P292" s="69" t="str">
        <x:v>scripts/build_trace_net_fishnet_route_manifest_overlay_v1.py; scripts/check_trace_net_fishnet_route_manifest_overlay_v1_quality.py; tests/unit/test_trace_net_fishnet_route_manifest_overlay_v1.py; tests/unit/test_trace_net_fishnet_route_manifest_overlay_v1_quality.py</x:v>
      </x:c>
      <x:c r="Q292" s="71" t="n">
        <x:v>0.96</x:v>
      </x:c>
      <x:c r="R292" s="69" t="str">
        <x:v>OCR/fishnet naming</x:v>
      </x:c>
      <x:c r="S292" s="69" t="str">
        <x:v>Build implementation is imported by active wrappers/tests and belongs to the ocr package.</x:v>
      </x:c>
      <x:c r="T292" s="69" t="str">
        <x:v>Update wrapper imports and compare generated artifact counts/checksums.</x:v>
      </x:c>
      <x:c r="U292" s="69" t="str"/>
      <x:c r="V292" s="69" t="str"/>
      <x:c r="W292" s="69" t="str"/>
      <x:c r="X292" s="72" t="n">
        <x:v>26407</x:v>
      </x:c>
      <x:c r="Y292" s="70" t="b">
        <x:v>1</x:v>
      </x:c>
      <x:c r="Z292" s="69" t="str">
        <x:v>Compatibility required</x:v>
      </x:c>
      <x:c r="AA292" s="69" t="str">
        <x:v>https://github.com/jwild2027/heico-ai-internship-summer-2026/blob/srv/tiff/trace_net_fishnet_route_manifest_overlay_v1.py</x:v>
      </x:c>
      <x:c r="AB292" s="69" t="str">
        <x:v>shared &lt;= symbol:contract, string:contract; ingestion &lt;= path:tiff, symbol:extract_page; ocr &lt;= path:fishnet, string:fishnet, string:ocr; visual &lt;= string:image_visual, string:visual; tables &lt;= string:table; embeddings &lt;= string:qdrant</x:v>
      </x:c>
    </x:row>
    <x:row r="293">
      <x:c r="A293" s="68" t="n">
        <x:v>292</x:v>
      </x:c>
      <x:c r="B293" s="69" t="str">
        <x:v>tiff/trace_net_fishnet_route_review_packet_v1.py</x:v>
      </x:c>
      <x:c r="C293" s="69" t="str">
        <x:v>trace_net_fishnet_route_review_packet_v1.py</x:v>
      </x:c>
      <x:c r="D293" s="69" t="str">
        <x:v>ocr</x:v>
      </x:c>
      <x:c r="E293" s="69" t="str">
        <x:v>ingestion</x:v>
      </x:c>
      <x:c r="F293" s="69" t="str">
        <x:v>ocr</x:v>
      </x:c>
      <x:c r="G293" s="69" t="str">
        <x:v>src/trace_net/ocr/</x:v>
      </x:c>
      <x:c r="H293" s="69" t="str">
        <x:v>src/trace_net/ocr/trace_net_fishnet_route_review_packet_v1.py</x:v>
      </x:c>
      <x:c r="I293" s="69" t="str">
        <x:v>active library module</x:v>
      </x:c>
      <x:c r="J293" s="69" t="str">
        <x:v>MOVE_WITH_IMPORT_UPDATES_AND_COMPATIBILITY_WRAPPER</x:v>
      </x:c>
      <x:c r="K293" s="70" t="b">
        <x:v>1</x:v>
      </x:c>
      <x:c r="L293" s="70" t="b">
        <x:v>0</x:v>
      </x:c>
      <x:c r="M293" s="70" t="b">
        <x:v>1</x:v>
      </x:c>
      <x:c r="N293" s="69" t="n">
        <x:v>4</x:v>
      </x:c>
      <x:c r="O293" s="69" t="n">
        <x:v>0</x:v>
      </x:c>
      <x:c r="P293" s="69" t="str">
        <x:v>scripts/build_trace_net_fishnet_route_review_packet_v1.py; scripts/check_trace_net_fishnet_route_review_packet_v1_quality.py; tests/unit/test_trace_net_fishnet_route_review_packet_v1.py; tests/unit/test_trace_net_fishnet_route_review_packet_v1_quality.py</x:v>
      </x:c>
      <x:c r="Q293" s="71" t="n">
        <x:v>0.95</x:v>
      </x:c>
      <x:c r="R293" s="69" t="str">
        <x:v>OCR/fishnet naming</x:v>
      </x:c>
      <x:c r="S293" s="69" t="str">
        <x:v>Primary implementation belongs to the ocr stage based on filename, imports, and inventory evidence.</x:v>
      </x:c>
      <x:c r="T293" s="69" t="str">
        <x:v>Update imports and retain the old tiff module as a wrapper when callers exist.</x:v>
      </x:c>
      <x:c r="U293" s="69" t="str"/>
      <x:c r="V293" s="69" t="str"/>
      <x:c r="W293" s="69" t="str"/>
      <x:c r="X293" s="72" t="n">
        <x:v>24278</x:v>
      </x:c>
      <x:c r="Y293" s="70" t="b">
        <x:v>1</x:v>
      </x:c>
      <x:c r="Z293" s="69" t="str">
        <x:v>Compatibility required</x:v>
      </x:c>
      <x:c r="AA293" s="69" t="str">
        <x:v>https://github.com/jwild2027/heico-ai-internship-summer-2026/blob/srv/tiff/trace_net_fishnet_route_review_packet_v1.py</x:v>
      </x:c>
      <x:c r="AB293" s="69" t="str">
        <x:v>shared &lt;= string:contract; ingestion &lt;= path:tiff; ocr &lt;= path:fishnet, string:fishnet, string:ocr; visual &lt;= string:image_visual, string:visual; tables &lt;= string:table; embeddings &lt;= string:qdrant</x:v>
      </x:c>
    </x:row>
    <x:row r="294">
      <x:c r="A294" s="68" t="n">
        <x:v>293</x:v>
      </x:c>
      <x:c r="B294" s="69" t="str">
        <x:v>tiff/trace_net_fishnet_route_signal_workbench_v1.py</x:v>
      </x:c>
      <x:c r="C294" s="69" t="str">
        <x:v>trace_net_fishnet_route_signal_workbench_v1.py</x:v>
      </x:c>
      <x:c r="D294" s="69" t="str">
        <x:v>ocr</x:v>
      </x:c>
      <x:c r="E294" s="69" t="str"/>
      <x:c r="F294" s="69" t="str">
        <x:v>ocr</x:v>
      </x:c>
      <x:c r="G294" s="69" t="str">
        <x:v>src/trace_net/ocr/</x:v>
      </x:c>
      <x:c r="H294" s="69" t="str">
        <x:v>src/trace_net/ocr/trace_net_fishnet_route_signal_workbench_v1.py</x:v>
      </x:c>
      <x:c r="I294" s="69" t="str">
        <x:v>active library module</x:v>
      </x:c>
      <x:c r="J294" s="69" t="str">
        <x:v>MOVE_WITH_IMPORT_UPDATES_AND_COMPATIBILITY_WRAPPER</x:v>
      </x:c>
      <x:c r="K294" s="70" t="b">
        <x:v>1</x:v>
      </x:c>
      <x:c r="L294" s="70" t="b">
        <x:v>0</x:v>
      </x:c>
      <x:c r="M294" s="70" t="b">
        <x:v>1</x:v>
      </x:c>
      <x:c r="N294" s="69" t="n">
        <x:v>4</x:v>
      </x:c>
      <x:c r="O294" s="69" t="n">
        <x:v>0</x:v>
      </x:c>
      <x:c r="P294" s="69" t="str">
        <x:v>scripts/build_trace_net_fishnet_route_signal_workbench_v1.py; scripts/check_trace_net_fishnet_route_signal_workbench_v1_quality.py; tests/unit/test_trace_net_fishnet_route_signal_workbench_v1.py; tests/unit/test_trace_net_fishnet_route_signal_workbench_v1_quality.py</x:v>
      </x:c>
      <x:c r="Q294" s="71" t="n">
        <x:v>0.95</x:v>
      </x:c>
      <x:c r="R294" s="69" t="str">
        <x:v>OCR/fishnet naming</x:v>
      </x:c>
      <x:c r="S294" s="69" t="str">
        <x:v>Primary implementation belongs to the ocr stage based on filename, imports, and inventory evidence.</x:v>
      </x:c>
      <x:c r="T294" s="69" t="str">
        <x:v>Update imports and retain the old tiff module as a wrapper when callers exist.</x:v>
      </x:c>
      <x:c r="U294" s="69" t="str"/>
      <x:c r="V294" s="69" t="str"/>
      <x:c r="W294" s="69" t="str"/>
      <x:c r="X294" s="72" t="n">
        <x:v>36063</x:v>
      </x:c>
      <x:c r="Y294" s="70" t="b">
        <x:v>1</x:v>
      </x:c>
      <x:c r="Z294" s="69" t="str">
        <x:v>Compatibility required</x:v>
      </x:c>
      <x:c r="AA294" s="69" t="str">
        <x:v>https://github.com/jwild2027/heico-ai-internship-summer-2026/blob/srv/tiff/trace_net_fishnet_route_signal_workbench_v1.py</x:v>
      </x:c>
      <x:c r="AB294" s="69" t="str">
        <x:v>shared &lt;= string:common, string:contract, string:helper; ingestion &lt;= path:tiff; ocr &lt;= path:fishnet, symbol:fishnet, string:fishnet, string:ocr; visual &lt;= string:diagram, string:image_visual, string:visual; tables &lt;= string:table; embeddings &lt;= string:qdrant</x:v>
      </x:c>
    </x:row>
    <x:row r="295">
      <x:c r="A295" s="68" t="n">
        <x:v>294</x:v>
      </x:c>
      <x:c r="B295" s="69" t="str">
        <x:v>tiff/trace_net_fishnet_router_hardening_policy_v1.py</x:v>
      </x:c>
      <x:c r="C295" s="69" t="str">
        <x:v>trace_net_fishnet_router_hardening_policy_v1.py</x:v>
      </x:c>
      <x:c r="D295" s="69" t="str">
        <x:v>ocr</x:v>
      </x:c>
      <x:c r="E295" s="69" t="str">
        <x:v>router, benchmarks, ingestion</x:v>
      </x:c>
      <x:c r="F295" s="69" t="str">
        <x:v>ocr</x:v>
      </x:c>
      <x:c r="G295" s="69" t="str">
        <x:v>src/trace_net/ocr/</x:v>
      </x:c>
      <x:c r="H295" s="69" t="str">
        <x:v>src/trace_net/ocr/trace_net_fishnet_router_hardening_policy_v1.py</x:v>
      </x:c>
      <x:c r="I295" s="69" t="str">
        <x:v>active library module</x:v>
      </x:c>
      <x:c r="J295" s="69" t="str">
        <x:v>MOVE_WITH_IMPORT_UPDATES_AND_COMPATIBILITY_WRAPPER</x:v>
      </x:c>
      <x:c r="K295" s="70" t="b">
        <x:v>1</x:v>
      </x:c>
      <x:c r="L295" s="70" t="b">
        <x:v>0</x:v>
      </x:c>
      <x:c r="M295" s="70" t="b">
        <x:v>1</x:v>
      </x:c>
      <x:c r="N295" s="69" t="n">
        <x:v>4</x:v>
      </x:c>
      <x:c r="O295" s="69" t="n">
        <x:v>0</x:v>
      </x:c>
      <x:c r="P295" s="69" t="str">
        <x:v>scripts/build_trace_net_fishnet_router_hardening_policy_v1.py; scripts/check_trace_net_fishnet_router_hardening_policy_v1_quality.py; tests/unit/test_trace_net_fishnet_router_hardening_policy_v1.py; tests/unit/test_trace_net_fishnet_router_hardening_policy_v1_quality.py</x:v>
      </x:c>
      <x:c r="Q295" s="71" t="n">
        <x:v>0.95</x:v>
      </x:c>
      <x:c r="R295" s="69" t="str">
        <x:v>OCR/fishnet naming</x:v>
      </x:c>
      <x:c r="S295" s="69" t="str">
        <x:v>Primary implementation belongs to the ocr stage based on filename, imports, and inventory evidence.</x:v>
      </x:c>
      <x:c r="T295" s="69" t="str">
        <x:v>Update imports and retain the old tiff module as a wrapper when callers exist.</x:v>
      </x:c>
      <x:c r="U295" s="69" t="str"/>
      <x:c r="V295" s="69" t="str"/>
      <x:c r="W295" s="69" t="str"/>
      <x:c r="X295" s="72" t="n">
        <x:v>19468</x:v>
      </x:c>
      <x:c r="Y295" s="70" t="b">
        <x:v>1</x:v>
      </x:c>
      <x:c r="Z295" s="69" t="str">
        <x:v>Compatibility required</x:v>
      </x:c>
      <x:c r="AA295" s="69" t="str">
        <x:v>https://github.com/jwild2027/heico-ai-internship-summer-2026/blob/srv/tiff/trace_net_fishnet_router_hardening_policy_v1.py</x:v>
      </x:c>
      <x:c r="AB295" s="69" t="str">
        <x:v>shared &lt;= string:contract; ingestion &lt;= path:tiff, string:convert; ocr &lt;= path:fishnet, symbol:fishnet, string:fishnet, string:ocr; visual &lt;= string:image_visual, string:visual; tables &lt;= string:table; embeddings &lt;= string:qdrant</x:v>
      </x:c>
    </x:row>
    <x:row r="296">
      <x:c r="A296" s="68" t="n">
        <x:v>295</x:v>
      </x:c>
      <x:c r="B296" s="69" t="str">
        <x:v>tiff/trace_net_follow_up_question_planner_v1.py</x:v>
      </x:c>
      <x:c r="C296" s="69" t="str">
        <x:v>trace_net_follow_up_question_planner_v1.py</x:v>
      </x:c>
      <x:c r="D296" s="69" t="str">
        <x:v>ingestion</x:v>
      </x:c>
      <x:c r="E296" s="69" t="str">
        <x:v>router, visual, benchmarks</x:v>
      </x:c>
      <x:c r="F296" s="69" t="str">
        <x:v>router</x:v>
      </x:c>
      <x:c r="G296" s="69" t="str">
        <x:v>src/trace_net/router/</x:v>
      </x:c>
      <x:c r="H296" s="69" t="str">
        <x:v>src/trace_net/router/trace_net_follow_up_question_planner_v1.py</x:v>
      </x:c>
      <x:c r="I296" s="69" t="str">
        <x:v>active library module</x:v>
      </x:c>
      <x:c r="J296" s="69" t="str">
        <x:v>MOVE_WITH_IMPORT_UPDATES_AND_COMPATIBILITY_WRAPPER</x:v>
      </x:c>
      <x:c r="K296" s="70" t="b">
        <x:v>1</x:v>
      </x:c>
      <x:c r="L296" s="70" t="b">
        <x:v>0</x:v>
      </x:c>
      <x:c r="M296" s="70" t="b">
        <x:v>1</x:v>
      </x:c>
      <x:c r="N296" s="69" t="n">
        <x:v>2</x:v>
      </x:c>
      <x:c r="O296" s="69" t="n">
        <x:v>1</x:v>
      </x:c>
      <x:c r="P296" s="69" t="str">
        <x:v>tiff/trace_net_query_atom_router_v1.py; trace_net_router_followup_benchmark_v1_patch/tiff/trace_net_query_atom_router_v1.py; trace_net_router_followup_benchmark_v1_patch/APPLY_ME.py</x:v>
      </x:c>
      <x:c r="Q296" s="71" t="n">
        <x:v>0.95</x:v>
      </x:c>
      <x:c r="R296" s="69" t="str">
        <x:v>router/route naming</x:v>
      </x:c>
      <x:c r="S296" s="69" t="str">
        <x:v>Primary implementation belongs to the router stage based on filename, imports, and inventory evidence.</x:v>
      </x:c>
      <x:c r="T296" s="69" t="str">
        <x:v>Update imports and retain the old tiff module as a wrapper when callers exist.</x:v>
      </x:c>
      <x:c r="U296" s="69" t="str"/>
      <x:c r="V296" s="69" t="str"/>
      <x:c r="W296" s="69" t="str"/>
      <x:c r="X296" s="72" t="n">
        <x:v>10257</x:v>
      </x:c>
      <x:c r="Y296" s="70" t="b">
        <x:v>1</x:v>
      </x:c>
      <x:c r="Z296" s="69" t="str">
        <x:v>Compatibility required</x:v>
      </x:c>
      <x:c r="AA296" s="69" t="str">
        <x:v>https://github.com/jwild2027/heico-ai-internship-summer-2026/blob/srv/tiff/trace_net_follow_up_question_planner_v1.py</x:v>
      </x:c>
      <x:c r="AB296" s="69" t="str">
        <x:v>shared &lt;= string:identifier; ingestion &lt;= path:tiff; visual &lt;= string:callout, string:diagram, string:vision, string:visual; tables &lt;= string:column, string:ipl, string:table; retrieval &lt;= string:candidate_discovery, string:retriev, string:tunnel; router &lt;= string:router</x:v>
      </x:c>
    </x:row>
    <x:row r="297">
      <x:c r="A297" s="68" t="n">
        <x:v>296</x:v>
      </x:c>
      <x:c r="B297" s="69" t="str">
        <x:v>tiff/trace_net_four_route_operational_resolver_v1.py</x:v>
      </x:c>
      <x:c r="C297" s="69" t="str">
        <x:v>trace_net_four_route_operational_resolver_v1.py</x:v>
      </x:c>
      <x:c r="D297" s="69" t="str">
        <x:v>ingestion</x:v>
      </x:c>
      <x:c r="E297" s="69" t="str">
        <x:v>visual, benchmarks</x:v>
      </x:c>
      <x:c r="F297" s="69" t="str">
        <x:v>router</x:v>
      </x:c>
      <x:c r="G297" s="69" t="str">
        <x:v>src/trace_net/router/</x:v>
      </x:c>
      <x:c r="H297" s="69" t="str">
        <x:v>src/trace_net/router/trace_net_four_route_operational_resolver_v1.py</x:v>
      </x:c>
      <x:c r="I297" s="69" t="str">
        <x:v>artifact builder implementation</x:v>
      </x:c>
      <x:c r="J297" s="69" t="str">
        <x:v>MOVE_WITH_IMPORT_UPDATES_AND_COMPATIBILITY_WRAPPER</x:v>
      </x:c>
      <x:c r="K297" s="70" t="b">
        <x:v>1</x:v>
      </x:c>
      <x:c r="L297" s="70" t="b">
        <x:v>0</x:v>
      </x:c>
      <x:c r="M297" s="70" t="b">
        <x:v>1</x:v>
      </x:c>
      <x:c r="N297" s="69" t="n">
        <x:v>4</x:v>
      </x:c>
      <x:c r="O297" s="69" t="n">
        <x:v>0</x:v>
      </x:c>
      <x:c r="P297" s="69" t="str">
        <x:v>scripts/build_trace_net_four_route_operational_resolver_v1.py; scripts/check_trace_net_four_route_operational_resolver_v1_quality.py; tests/unit/test_trace_net_four_route_operational_resolver_v1.py; tests/unit/test_trace_net_four_route_operational_resolver_v1_quality.py</x:v>
      </x:c>
      <x:c r="Q297" s="71" t="n">
        <x:v>0.96</x:v>
      </x:c>
      <x:c r="R297" s="69" t="str">
        <x:v>router/route naming</x:v>
      </x:c>
      <x:c r="S297" s="69" t="str">
        <x:v>Build implementation is imported by active wrappers/tests and belongs to the router package.</x:v>
      </x:c>
      <x:c r="T297" s="69" t="str">
        <x:v>Update wrapper imports and compare generated artifact counts/checksums.</x:v>
      </x:c>
      <x:c r="U297" s="69" t="str"/>
      <x:c r="V297" s="69" t="str">
        <x:v>TRACE_NET_FOUR_ROUTE_OPERATIONAL_RESOLVER_BUILT</x:v>
      </x:c>
      <x:c r="W297" s="69" t="str"/>
      <x:c r="X297" s="72" t="n">
        <x:v>24154</x:v>
      </x:c>
      <x:c r="Y297" s="70" t="b">
        <x:v>1</x:v>
      </x:c>
      <x:c r="Z297" s="69" t="str">
        <x:v>Compatibility required</x:v>
      </x:c>
      <x:c r="AA297" s="69" t="str">
        <x:v>https://github.com/jwild2027/heico-ai-internship-summer-2026/blob/srv/tiff/trace_net_four_route_operational_resolver_v1.py</x:v>
      </x:c>
      <x:c r="AB297" s="69" t="str">
        <x:v>shared &lt;= string:contract; ingestion &lt;= path:tiff; ocr &lt;= string:ocr; visual &lt;= string:diagram, string:image_visual, string:vision, string:visual; tables &lt;= string:detailed_parts_list, string:parts_list, string:table; graph &lt;= string:graph</x:v>
      </x:c>
    </x:row>
    <x:row r="298">
      <x:c r="A298" s="68" t="n">
        <x:v>297</x:v>
      </x:c>
      <x:c r="B298" s="69" t="str">
        <x:v>tiff/trace_net_four_route_storage_gate_v1.py</x:v>
      </x:c>
      <x:c r="C298" s="69" t="str">
        <x:v>trace_net_four_route_storage_gate_v1.py</x:v>
      </x:c>
      <x:c r="D298" s="69" t="str">
        <x:v>ingestion</x:v>
      </x:c>
      <x:c r="E298" s="69" t="str"/>
      <x:c r="F298" s="69" t="str">
        <x:v>router</x:v>
      </x:c>
      <x:c r="G298" s="69" t="str">
        <x:v>src/trace_net/router/quality/</x:v>
      </x:c>
      <x:c r="H298" s="69" t="str">
        <x:v>src/trace_net/router/quality/trace_net_four_route_storage_gate_v1.py</x:v>
      </x:c>
      <x:c r="I298" s="69" t="str">
        <x:v>runtime validation/gating module</x:v>
      </x:c>
      <x:c r="J298" s="69" t="str">
        <x:v>MOVE_WITH_IMPORT_UPDATES_AND_COMPATIBILITY_WRAPPER</x:v>
      </x:c>
      <x:c r="K298" s="70" t="b">
        <x:v>1</x:v>
      </x:c>
      <x:c r="L298" s="70" t="b">
        <x:v>0</x:v>
      </x:c>
      <x:c r="M298" s="70" t="b">
        <x:v>1</x:v>
      </x:c>
      <x:c r="N298" s="69" t="n">
        <x:v>2</x:v>
      </x:c>
      <x:c r="O298" s="69" t="n">
        <x:v>0</x:v>
      </x:c>
      <x:c r="P298" s="69" t="str">
        <x:v>scripts/build_trace_net_four_route_storage_gate_v1.py; tests/unit/test_trace_net_four_route_storage_gate_v1.py</x:v>
      </x:c>
      <x:c r="Q298" s="71" t="n">
        <x:v>0.96</x:v>
      </x:c>
      <x:c r="R298" s="69" t="str">
        <x:v>router/route naming</x:v>
      </x:c>
      <x:c r="S298" s="69" t="str">
        <x:v>Implements a runtime gate, critic, hardener, or evidence sufficiency check.</x:v>
      </x:c>
      <x:c r="T298" s="69" t="str">
        <x:v>Preserve gating semantics and old import path until focused tests pass.</x:v>
      </x:c>
      <x:c r="U298" s="69" t="str"/>
      <x:c r="V298" s="69" t="str">
        <x:v>TRACE_NET_FOUR_ROUTE_STORAGE_GATE_BUILT</x:v>
      </x:c>
      <x:c r="W298" s="69" t="str"/>
      <x:c r="X298" s="72" t="n">
        <x:v>16843</x:v>
      </x:c>
      <x:c r="Y298" s="70" t="b">
        <x:v>1</x:v>
      </x:c>
      <x:c r="Z298" s="69" t="str">
        <x:v>Compatibility required</x:v>
      </x:c>
      <x:c r="AA298" s="69" t="str">
        <x:v>https://github.com/jwild2027/heico-ai-internship-summer-2026/blob/srv/tiff/trace_net_four_route_storage_gate_v1.py</x:v>
      </x:c>
      <x:c r="AB298" s="69" t="str">
        <x:v>shared &lt;= string:contract; ingestion &lt;= path:tiff, string:convert, string:ingest, string:tiff; ocr &lt;= string:ocr; tables &lt;= string:table; graph &lt;= string:graph; embeddings &lt;= string:embedding, string:qdrant</x:v>
      </x:c>
    </x:row>
    <x:row r="299">
      <x:c r="A299" s="68" t="n">
        <x:v>298</x:v>
      </x:c>
      <x:c r="B299" s="69" t="str">
        <x:v>tiff/trace_net_four_route_storage_gate_v1_quality.py</x:v>
      </x:c>
      <x:c r="C299" s="69" t="str">
        <x:v>trace_net_four_route_storage_gate_v1_quality.py</x:v>
      </x:c>
      <x:c r="D299" s="69" t="str">
        <x:v>benchmarks</x:v>
      </x:c>
      <x:c r="E299" s="69" t="str">
        <x:v>ingestion</x:v>
      </x:c>
      <x:c r="F299" s="69" t="str">
        <x:v>validation</x:v>
      </x:c>
      <x:c r="G299" s="69" t="str">
        <x:v>src/trace_net/validation/</x:v>
      </x:c>
      <x:c r="H299" s="69" t="str">
        <x:v>src/trace_net/validation/trace_net_four_route_storage_gate_v1_quality.py</x:v>
      </x:c>
      <x:c r="I299" s="69" t="str">
        <x:v>quality validator module</x:v>
      </x:c>
      <x:c r="J299" s="69" t="str">
        <x:v>MOVE_WITH_IMPORT_UPDATES_AND_COMPATIBILITY_WRAPPER</x:v>
      </x:c>
      <x:c r="K299" s="70" t="b">
        <x:v>1</x:v>
      </x:c>
      <x:c r="L299" s="70" t="b">
        <x:v>0</x:v>
      </x:c>
      <x:c r="M299" s="70" t="b">
        <x:v>1</x:v>
      </x:c>
      <x:c r="N299" s="69" t="n">
        <x:v>2</x:v>
      </x:c>
      <x:c r="O299" s="69" t="n">
        <x:v>0</x:v>
      </x:c>
      <x:c r="P299" s="69" t="str">
        <x:v>scripts/check_trace_net_four_route_storage_gate_v1_quality.py; tests/unit/test_trace_net_four_route_storage_gate_v1_quality.py</x:v>
      </x:c>
      <x:c r="Q299" s="71" t="n">
        <x:v>0.97</x:v>
      </x:c>
      <x:c r="R299" s="69" t="str">
        <x:v>router/route naming</x:v>
      </x:c>
      <x:c r="S299" s="69" t="str">
        <x:v>Quality logic is reusable source code for the router stage.</x:v>
      </x:c>
      <x:c r="T299" s="69" t="str">
        <x:v>Update test and script imports; retain the old tiff import as a thin wrapper until PASS.</x:v>
      </x:c>
      <x:c r="U299" s="69" t="str"/>
      <x:c r="V299" s="69" t="str"/>
      <x:c r="W299" s="69" t="str"/>
      <x:c r="X299" s="72" t="n">
        <x:v>7323</x:v>
      </x:c>
      <x:c r="Y299" s="70" t="b">
        <x:v>1</x:v>
      </x:c>
      <x:c r="Z299" s="69" t="str">
        <x:v>Compatibility required</x:v>
      </x:c>
      <x:c r="AA299" s="69" t="str">
        <x:v>https://github.com/jwild2027/heico-ai-internship-summer-2026/blob/srv/tiff/trace_net_four_route_storage_gate_v1_quality.py</x:v>
      </x:c>
      <x:c r="AB299" s="69" t="str">
        <x:v>ingestion &lt;= path:tiff; graph &lt;= string:graph; embeddings &lt;= string:embedding, string:qdrant; retrieval &lt;= string:opensearch; validation &lt;= string:validator; benchmarks &lt;= symbol:eval, string:quality_check</x:v>
      </x:c>
    </x:row>
    <x:row r="300">
      <x:c r="A300" s="68" t="n">
        <x:v>299</x:v>
      </x:c>
      <x:c r="B300" s="69" t="str">
        <x:v>tiff/trace_net_gold_label_auto_review_seed_v1.py</x:v>
      </x:c>
      <x:c r="C300" s="69" t="str">
        <x:v>trace_net_gold_label_auto_review_seed_v1.py</x:v>
      </x:c>
      <x:c r="D300" s="69" t="str">
        <x:v>ingestion</x:v>
      </x:c>
      <x:c r="E300" s="69" t="str">
        <x:v>benchmarks</x:v>
      </x:c>
      <x:c r="F300" s="69" t="str">
        <x:v>ingestion</x:v>
      </x:c>
      <x:c r="G300" s="69" t="str">
        <x:v>src/trace_net/ingestion/</x:v>
      </x:c>
      <x:c r="H300" s="69" t="str">
        <x:v>src/trace_net/ingestion/trace_net_gold_label_auto_review_seed_v1.py</x:v>
      </x:c>
      <x:c r="I300" s="69" t="str">
        <x:v>active library module</x:v>
      </x:c>
      <x:c r="J300" s="69" t="str">
        <x:v>MOVE_WITH_IMPORT_UPDATES_AND_COMPATIBILITY_WRAPPER</x:v>
      </x:c>
      <x:c r="K300" s="70" t="b">
        <x:v>1</x:v>
      </x:c>
      <x:c r="L300" s="70" t="b">
        <x:v>0</x:v>
      </x:c>
      <x:c r="M300" s="70" t="b">
        <x:v>1</x:v>
      </x:c>
      <x:c r="N300" s="69" t="n">
        <x:v>4</x:v>
      </x:c>
      <x:c r="O300" s="69" t="n">
        <x:v>0</x:v>
      </x:c>
      <x:c r="P300" s="69" t="str">
        <x:v>scripts/build_trace_net_gold_label_auto_review_seed_v1.py; scripts/check_trace_net_gold_label_auto_review_seed_v1_quality.py; tests/unit/test_trace_net_gold_label_auto_review_seed_v1.py; tests/unit/test_trace_net_gold_label_auto_review_seed_v1_quality.py</x:v>
      </x:c>
      <x:c r="Q300" s="71" t="n">
        <x:v>0.95</x:v>
      </x:c>
      <x:c r="R300" s="69" t="str">
        <x:v>inventory stage: ingestion</x:v>
      </x:c>
      <x:c r="S300" s="69" t="str">
        <x:v>Primary implementation belongs to the ingestion stage based on filename, imports, and inventory evidence.</x:v>
      </x:c>
      <x:c r="T300" s="69" t="str">
        <x:v>Update imports and retain the old tiff module as a wrapper when callers exist.</x:v>
      </x:c>
      <x:c r="U300" s="69" t="str"/>
      <x:c r="V300" s="69" t="str">
        <x:v>TRACE_NET_GOLD_LABEL_AUTO_REVIEW_SEED_BUILT</x:v>
      </x:c>
      <x:c r="W300" s="69" t="str"/>
      <x:c r="X300" s="72" t="n">
        <x:v>18084</x:v>
      </x:c>
      <x:c r="Y300" s="70" t="b">
        <x:v>1</x:v>
      </x:c>
      <x:c r="Z300" s="69" t="str">
        <x:v>Compatibility required</x:v>
      </x:c>
      <x:c r="AA300" s="69" t="str">
        <x:v>https://github.com/jwild2027/heico-ai-internship-summer-2026/blob/srv/tiff/trace_net_gold_label_auto_review_seed_v1.py</x:v>
      </x:c>
      <x:c r="AB300" s="69" t="str">
        <x:v>ingestion &lt;= path:tiff; ocr &lt;= string:ocr; visual &lt;= string:diagram, string:image_visual, string:visual; tables &lt;= string:detailed_parts_list, string:parts_list, string:table; embeddings &lt;= string:qdrant; retrieval &lt;= string:opensearch</x:v>
      </x:c>
    </x:row>
    <x:row r="301">
      <x:c r="A301" s="68" t="n">
        <x:v>300</x:v>
      </x:c>
      <x:c r="B301" s="69" t="str">
        <x:v>tiff/trace_net_gold_label_decision_merge_v1.py</x:v>
      </x:c>
      <x:c r="C301" s="69" t="str">
        <x:v>trace_net_gold_label_decision_merge_v1.py</x:v>
      </x:c>
      <x:c r="D301" s="69" t="str">
        <x:v>ingestion</x:v>
      </x:c>
      <x:c r="E301" s="69" t="str">
        <x:v>benchmarks</x:v>
      </x:c>
      <x:c r="F301" s="69" t="str">
        <x:v>ingestion</x:v>
      </x:c>
      <x:c r="G301" s="69" t="str">
        <x:v>src/trace_net/ingestion/</x:v>
      </x:c>
      <x:c r="H301" s="69" t="str">
        <x:v>src/trace_net/ingestion/trace_net_gold_label_decision_merge_v1.py</x:v>
      </x:c>
      <x:c r="I301" s="69" t="str">
        <x:v>active library module</x:v>
      </x:c>
      <x:c r="J301" s="69" t="str">
        <x:v>MOVE_WITH_IMPORT_UPDATES_AND_COMPATIBILITY_WRAPPER</x:v>
      </x:c>
      <x:c r="K301" s="70" t="b">
        <x:v>1</x:v>
      </x:c>
      <x:c r="L301" s="70" t="b">
        <x:v>0</x:v>
      </x:c>
      <x:c r="M301" s="70" t="b">
        <x:v>1</x:v>
      </x:c>
      <x:c r="N301" s="69" t="n">
        <x:v>4</x:v>
      </x:c>
      <x:c r="O301" s="69" t="n">
        <x:v>0</x:v>
      </x:c>
      <x:c r="P301" s="69" t="str">
        <x:v>scripts/build_trace_net_gold_label_decision_merge_v1.py; scripts/check_trace_net_gold_label_decision_merge_v1_quality.py; tests/unit/test_trace_net_gold_label_decision_merge_v1.py; tests/unit/test_trace_net_gold_label_decision_merge_v1_quality.py</x:v>
      </x:c>
      <x:c r="Q301" s="71" t="n">
        <x:v>0.95</x:v>
      </x:c>
      <x:c r="R301" s="69" t="str">
        <x:v>inventory stage: ingestion</x:v>
      </x:c>
      <x:c r="S301" s="69" t="str">
        <x:v>Primary implementation belongs to the ingestion stage based on filename, imports, and inventory evidence.</x:v>
      </x:c>
      <x:c r="T301" s="69" t="str">
        <x:v>Update imports and retain the old tiff module as a wrapper when callers exist.</x:v>
      </x:c>
      <x:c r="U301" s="69" t="str"/>
      <x:c r="V301" s="69" t="str">
        <x:v>TRACE_NET_GOLD_LABEL_DECISION_MERGE_BUILT</x:v>
      </x:c>
      <x:c r="W301" s="69" t="str"/>
      <x:c r="X301" s="72" t="n">
        <x:v>21400</x:v>
      </x:c>
      <x:c r="Y301" s="70" t="b">
        <x:v>1</x:v>
      </x:c>
      <x:c r="Z301" s="69" t="str">
        <x:v>Compatibility required</x:v>
      </x:c>
      <x:c r="AA301" s="69" t="str">
        <x:v>https://github.com/jwild2027/heico-ai-internship-summer-2026/blob/srv/tiff/trace_net_gold_label_decision_merge_v1.py</x:v>
      </x:c>
      <x:c r="AB301" s="69" t="str">
        <x:v>shared &lt;= string:contract; ingestion &lt;= path:tiff; ocr &lt;= string:ocr; visual &lt;= string:diagram, string:image_visual, string:visual; tables &lt;= string:detailed_parts_list, string:parts_list, string:table; embeddings &lt;= string:qdrant</x:v>
      </x:c>
    </x:row>
    <x:row r="302">
      <x:c r="A302" s="68" t="n">
        <x:v>301</x:v>
      </x:c>
      <x:c r="B302" s="69" t="str">
        <x:v>tiff/trace_net_gold_label_review_reduction_v1.py</x:v>
      </x:c>
      <x:c r="C302" s="69" t="str">
        <x:v>trace_net_gold_label_review_reduction_v1.py</x:v>
      </x:c>
      <x:c r="D302" s="69" t="str">
        <x:v>ingestion</x:v>
      </x:c>
      <x:c r="E302" s="69" t="str">
        <x:v>benchmarks</x:v>
      </x:c>
      <x:c r="F302" s="69" t="str">
        <x:v>ingestion</x:v>
      </x:c>
      <x:c r="G302" s="69" t="str">
        <x:v>src/trace_net/ingestion/</x:v>
      </x:c>
      <x:c r="H302" s="69" t="str">
        <x:v>src/trace_net/ingestion/trace_net_gold_label_review_reduction_v1.py</x:v>
      </x:c>
      <x:c r="I302" s="69" t="str">
        <x:v>active library module</x:v>
      </x:c>
      <x:c r="J302" s="69" t="str">
        <x:v>MOVE_WITH_IMPORT_UPDATES_AND_COMPATIBILITY_WRAPPER</x:v>
      </x:c>
      <x:c r="K302" s="70" t="b">
        <x:v>1</x:v>
      </x:c>
      <x:c r="L302" s="70" t="b">
        <x:v>0</x:v>
      </x:c>
      <x:c r="M302" s="70" t="b">
        <x:v>1</x:v>
      </x:c>
      <x:c r="N302" s="69" t="n">
        <x:v>4</x:v>
      </x:c>
      <x:c r="O302" s="69" t="n">
        <x:v>0</x:v>
      </x:c>
      <x:c r="P302" s="69" t="str">
        <x:v>scripts/build_trace_net_gold_label_review_reduction_v1.py; scripts/check_trace_net_gold_label_review_reduction_v1_quality.py; tests/unit/test_trace_net_gold_label_review_reduction_v1.py; tests/unit/test_trace_net_gold_label_review_reduction_v1_quality.py</x:v>
      </x:c>
      <x:c r="Q302" s="71" t="n">
        <x:v>0.95</x:v>
      </x:c>
      <x:c r="R302" s="69" t="str">
        <x:v>inventory stage: ingestion</x:v>
      </x:c>
      <x:c r="S302" s="69" t="str">
        <x:v>Primary implementation belongs to the ingestion stage based on filename, imports, and inventory evidence.</x:v>
      </x:c>
      <x:c r="T302" s="69" t="str">
        <x:v>Update imports and retain the old tiff module as a wrapper when callers exist.</x:v>
      </x:c>
      <x:c r="U302" s="69" t="str"/>
      <x:c r="V302" s="69" t="str">
        <x:v>TRACE_NET_GOLD_LABEL_REVIEW_REDUCTION_BUILT</x:v>
      </x:c>
      <x:c r="W302" s="69" t="str"/>
      <x:c r="X302" s="72" t="n">
        <x:v>20011</x:v>
      </x:c>
      <x:c r="Y302" s="70" t="b">
        <x:v>1</x:v>
      </x:c>
      <x:c r="Z302" s="69" t="str">
        <x:v>Compatibility required</x:v>
      </x:c>
      <x:c r="AA302" s="69" t="str">
        <x:v>https://github.com/jwild2027/heico-ai-internship-summer-2026/blob/srv/tiff/trace_net_gold_label_review_reduction_v1.py</x:v>
      </x:c>
      <x:c r="AB302" s="69" t="str">
        <x:v>ingestion &lt;= path:tiff; ocr &lt;= string:ocr; embeddings &lt;= string:qdrant; retrieval &lt;= string:opensearch; serving &lt;= import:sse; benchmarks &lt;= string:quality_check</x:v>
      </x:c>
    </x:row>
    <x:row r="303">
      <x:c r="A303" s="68" t="n">
        <x:v>302</x:v>
      </x:c>
      <x:c r="B303" s="69" t="str">
        <x:v>tiff/trace_net_gold_label_review_workbook_v1.py</x:v>
      </x:c>
      <x:c r="C303" s="69" t="str">
        <x:v>trace_net_gold_label_review_workbook_v1.py</x:v>
      </x:c>
      <x:c r="D303" s="69" t="str">
        <x:v>tables</x:v>
      </x:c>
      <x:c r="E303" s="69" t="str">
        <x:v>visual, ingestion, serving, benchmarks</x:v>
      </x:c>
      <x:c r="F303" s="69" t="str">
        <x:v>tables</x:v>
      </x:c>
      <x:c r="G303" s="69" t="str">
        <x:v>src/trace_net/tables/</x:v>
      </x:c>
      <x:c r="H303" s="69" t="str">
        <x:v>src/trace_net/tables/trace_net_gold_label_review_workbook_v1.py</x:v>
      </x:c>
      <x:c r="I303" s="69" t="str">
        <x:v>active library module</x:v>
      </x:c>
      <x:c r="J303" s="69" t="str">
        <x:v>MOVE_WITH_IMPORT_UPDATES_AND_COMPATIBILITY_WRAPPER</x:v>
      </x:c>
      <x:c r="K303" s="70" t="b">
        <x:v>1</x:v>
      </x:c>
      <x:c r="L303" s="70" t="b">
        <x:v>0</x:v>
      </x:c>
      <x:c r="M303" s="70" t="b">
        <x:v>1</x:v>
      </x:c>
      <x:c r="N303" s="69" t="n">
        <x:v>6</x:v>
      </x:c>
      <x:c r="O303" s="69" t="n">
        <x:v>0</x:v>
      </x:c>
      <x:c r="P303" s="69" t="str">
        <x:v>scripts/build_trace_net_gold_label_review_workbook_v1.py; scripts/check_trace_net_gold_label_review_workbook_v1_quality.py; tests/unit/test_trace_net_gold_label_review_workbook_v1.py; tests/unit/test_trace_net_gold_label_review_workbook_v1_quality.py; tests/unit/test_trace_net_gold_label_review_workbook_v1_suggestion_tuning.py; tests/unit/test_trace_net_gold_label_review_workbook_v1_visual_clamp.py</x:v>
      </x:c>
      <x:c r="Q303" s="71" t="n">
        <x:v>0.95</x:v>
      </x:c>
      <x:c r="R303" s="69" t="str">
        <x:v>inventory stage: tables</x:v>
      </x:c>
      <x:c r="S303" s="69" t="str">
        <x:v>Primary implementation belongs to the tables stage based on filename, imports, and inventory evidence.</x:v>
      </x:c>
      <x:c r="T303" s="69" t="str">
        <x:v>Update imports and retain the old tiff module as a wrapper when callers exist.</x:v>
      </x:c>
      <x:c r="U303" s="69" t="str"/>
      <x:c r="V303" s="69" t="str">
        <x:v>TRACE_NET_GOLD_LABEL_REVIEW_WORKBOOK_BUILT</x:v>
      </x:c>
      <x:c r="W303" s="69" t="str"/>
      <x:c r="X303" s="72" t="n">
        <x:v>32028</x:v>
      </x:c>
      <x:c r="Y303" s="70" t="b">
        <x:v>1</x:v>
      </x:c>
      <x:c r="Z303" s="69" t="str">
        <x:v>Compatibility required</x:v>
      </x:c>
      <x:c r="AA303" s="69" t="str">
        <x:v>https://github.com/jwild2027/heico-ai-internship-summer-2026/blob/srv/tiff/trace_net_gold_label_review_workbook_v1.py</x:v>
      </x:c>
      <x:c r="AB303" s="69" t="str">
        <x:v>shared &lt;= string:contract, string:schema; ingestion &lt;= path:tiff, string:scan_pack; ocr &lt;= string:ocr; visual &lt;= string:diagram, string:image_visual, string:vision, string:visual; tables &lt;= string:column, string:detailed_parts_list, string:ipl, string:parts_list; graph &lt;= string:relationship</x:v>
      </x:c>
    </x:row>
    <x:row r="304">
      <x:c r="A304" s="68" t="n">
        <x:v>303</x:v>
      </x:c>
      <x:c r="B304" s="69" t="str">
        <x:v>tiff/trace_net_graph_audit_quality.py</x:v>
      </x:c>
      <x:c r="C304" s="69" t="str">
        <x:v>trace_net_graph_audit_quality.py</x:v>
      </x:c>
      <x:c r="D304" s="69" t="str">
        <x:v>graph</x:v>
      </x:c>
      <x:c r="E304" s="69" t="str">
        <x:v>ingestion</x:v>
      </x:c>
      <x:c r="F304" s="69" t="str">
        <x:v>graph</x:v>
      </x:c>
      <x:c r="G304" s="69" t="str">
        <x:v>src/trace_net/graph/quality/</x:v>
      </x:c>
      <x:c r="H304" s="69" t="str">
        <x:v>src/trace_net/graph/quality/trace_net_graph_audit_quality.py</x:v>
      </x:c>
      <x:c r="I304" s="69" t="str">
        <x:v>quality validator module</x:v>
      </x:c>
      <x:c r="J304" s="69" t="str">
        <x:v>MOVE_WITH_IMPORT_UPDATES_AND_COMPATIBILITY_WRAPPER</x:v>
      </x:c>
      <x:c r="K304" s="70" t="b">
        <x:v>1</x:v>
      </x:c>
      <x:c r="L304" s="70" t="b">
        <x:v>0</x:v>
      </x:c>
      <x:c r="M304" s="70" t="b">
        <x:v>1</x:v>
      </x:c>
      <x:c r="N304" s="69" t="n">
        <x:v>2</x:v>
      </x:c>
      <x:c r="O304" s="69" t="n">
        <x:v>0</x:v>
      </x:c>
      <x:c r="P304" s="69" t="str">
        <x:v>scripts/check_trace_net_graph_audit_quality.py; tests/unit/test_tiff_trace_net_graph_audit.py</x:v>
      </x:c>
      <x:c r="Q304" s="71" t="n">
        <x:v>0.97</x:v>
      </x:c>
      <x:c r="R304" s="69" t="str">
        <x:v>graph/Leiden/Postgres naming</x:v>
      </x:c>
      <x:c r="S304" s="69" t="str">
        <x:v>Quality logic is reusable source code for the graph stage.</x:v>
      </x:c>
      <x:c r="T304" s="69" t="str">
        <x:v>Update test and script imports; retain the old tiff import as a thin wrapper until PASS.</x:v>
      </x:c>
      <x:c r="U304" s="69" t="str"/>
      <x:c r="V304" s="69" t="str"/>
      <x:c r="W304" s="69" t="str"/>
      <x:c r="X304" s="72" t="n">
        <x:v>6691</x:v>
      </x:c>
      <x:c r="Y304" s="70" t="b">
        <x:v>1</x:v>
      </x:c>
      <x:c r="Z304" s="69" t="str">
        <x:v>Compatibility required</x:v>
      </x:c>
      <x:c r="AA304" s="69" t="str">
        <x:v>https://github.com/jwild2027/heico-ai-internship-summer-2026/blob/srv/tiff/trace_net_graph_audit_quality.py</x:v>
      </x:c>
      <x:c r="AB304" s="69" t="str">
        <x:v>shared &lt;= string:trust_tier; ingestion &lt;= path:tiff; tables &lt;= string:column; graph &lt;= path:graph, string:graph; embeddings &lt;= string:rag_candidate; serving &lt;= string:serve</x:v>
      </x:c>
    </x:row>
    <x:row r="305">
      <x:c r="A305" s="68" t="n">
        <x:v>304</x:v>
      </x:c>
      <x:c r="B305" s="69" t="str">
        <x:v>tiff/trace_net_graph_baseline_checkpoint_v1.py</x:v>
      </x:c>
      <x:c r="C305" s="69" t="str">
        <x:v>trace_net_graph_baseline_checkpoint_v1.py</x:v>
      </x:c>
      <x:c r="D305" s="69" t="str">
        <x:v>graph</x:v>
      </x:c>
      <x:c r="E305" s="69" t="str">
        <x:v>benchmarks, ingestion, tables, shared</x:v>
      </x:c>
      <x:c r="F305" s="69" t="str">
        <x:v>graph</x:v>
      </x:c>
      <x:c r="G305" s="69" t="str">
        <x:v>src/trace_net/graph/</x:v>
      </x:c>
      <x:c r="H305" s="69" t="str">
        <x:v>src/trace_net/graph/trace_net_graph_baseline_checkpoint_v1.py</x:v>
      </x:c>
      <x:c r="I305" s="69" t="str">
        <x:v>active library module</x:v>
      </x:c>
      <x:c r="J305" s="69" t="str">
        <x:v>MOVE_WITH_IMPORT_UPDATES_AND_COMPATIBILITY_WRAPPER</x:v>
      </x:c>
      <x:c r="K305" s="70" t="b">
        <x:v>1</x:v>
      </x:c>
      <x:c r="L305" s="70" t="b">
        <x:v>0</x:v>
      </x:c>
      <x:c r="M305" s="70" t="b">
        <x:v>1</x:v>
      </x:c>
      <x:c r="N305" s="69" t="n">
        <x:v>4</x:v>
      </x:c>
      <x:c r="O305" s="69" t="n">
        <x:v>0</x:v>
      </x:c>
      <x:c r="P305" s="69" t="str">
        <x:v>scripts/check_trace_net_graph_baseline_checkpoint_v1_quality.py; scripts/freeze_trace_net_graph_baseline_checkpoint_v1.py; tests/unit/test_trace_net_graph_baseline_checkpoint_v1.py; tests/unit/test_trace_net_graph_baseline_checkpoint_v1_quality.py</x:v>
      </x:c>
      <x:c r="Q305" s="71" t="n">
        <x:v>0.95</x:v>
      </x:c>
      <x:c r="R305" s="69" t="str">
        <x:v>graph/Leiden/Postgres naming</x:v>
      </x:c>
      <x:c r="S305" s="69" t="str">
        <x:v>Primary implementation belongs to the graph stage based on filename, imports, and inventory evidence.</x:v>
      </x:c>
      <x:c r="T305" s="69" t="str">
        <x:v>Update imports and retain the old tiff module as a wrapper when callers exist.</x:v>
      </x:c>
      <x:c r="U305" s="69" t="str"/>
      <x:c r="V305" s="69" t="str">
        <x:v>TRACE_NET_DATABASE_URL</x:v>
      </x:c>
      <x:c r="W305" s="69" t="str"/>
      <x:c r="X305" s="72" t="n">
        <x:v>36718</x:v>
      </x:c>
      <x:c r="Y305" s="70" t="b">
        <x:v>1</x:v>
      </x:c>
      <x:c r="Z305" s="69" t="str">
        <x:v>Compatibility required</x:v>
      </x:c>
      <x:c r="AA305" s="69" t="str">
        <x:v>https://github.com/jwild2027/heico-ai-internship-summer-2026/blob/srv/tiff/trace_net_graph_baseline_checkpoint_v1.py</x:v>
      </x:c>
      <x:c r="AB305" s="69" t="str">
        <x:v>shared &lt;= symbol:identifier, string:helper, string:schema, string:trust_tier; ingestion &lt;= path:tiff, symbol:extract_page; tables &lt;= symbol:column, symbol:table, string:column, string:table; graph &lt;= path:graph, symbol:graph, string:graph, string:has_context, string:has_nomenclature; embeddings &lt;= string:candidate_chunk, string:embedding, string:embedding_candidate, string:rag_candidate; retrieval &lt;= symbol:retriev, string:retriev</x:v>
      </x:c>
    </x:row>
    <x:row r="306">
      <x:c r="A306" s="68" t="n">
        <x:v>305</x:v>
      </x:c>
      <x:c r="B306" s="69" t="str">
        <x:v>tiff/trace_net_graph_explorer.py</x:v>
      </x:c>
      <x:c r="C306" s="69" t="str">
        <x:v>trace_net_graph_explorer.py</x:v>
      </x:c>
      <x:c r="D306" s="69" t="str">
        <x:v>graph</x:v>
      </x:c>
      <x:c r="E306" s="69" t="str">
        <x:v>ingestion, tables</x:v>
      </x:c>
      <x:c r="F306" s="69" t="str">
        <x:v>graph</x:v>
      </x:c>
      <x:c r="G306" s="69" t="str">
        <x:v>src/trace_net/graph/</x:v>
      </x:c>
      <x:c r="H306" s="69" t="str">
        <x:v>src/trace_net/graph/trace_net_graph_explorer.py</x:v>
      </x:c>
      <x:c r="I306" s="69" t="str">
        <x:v>active library module</x:v>
      </x:c>
      <x:c r="J306" s="69" t="str">
        <x:v>MOVE_WITH_IMPORT_UPDATES_AND_COMPATIBILITY_WRAPPER</x:v>
      </x:c>
      <x:c r="K306" s="70" t="b">
        <x:v>1</x:v>
      </x:c>
      <x:c r="L306" s="70" t="b">
        <x:v>0</x:v>
      </x:c>
      <x:c r="M306" s="70" t="b">
        <x:v>1</x:v>
      </x:c>
      <x:c r="N306" s="69" t="n">
        <x:v>2</x:v>
      </x:c>
      <x:c r="O306" s="69" t="n">
        <x:v>0</x:v>
      </x:c>
      <x:c r="P306" s="69" t="str">
        <x:v>scripts/build_trace_net_graph_explorer.py; tests/unit/test_tiff_trace_net_graph_explorer.py</x:v>
      </x:c>
      <x:c r="Q306" s="71" t="n">
        <x:v>0.95</x:v>
      </x:c>
      <x:c r="R306" s="69" t="str">
        <x:v>graph/Leiden/Postgres naming</x:v>
      </x:c>
      <x:c r="S306" s="69" t="str">
        <x:v>Primary implementation belongs to the graph stage based on filename, imports, and inventory evidence.</x:v>
      </x:c>
      <x:c r="T306" s="69" t="str">
        <x:v>Update imports and retain the old tiff module as a wrapper when callers exist.</x:v>
      </x:c>
      <x:c r="U306" s="69" t="str"/>
      <x:c r="V306" s="69" t="str">
        <x:v>TRACE_NET_DATABASE_URL</x:v>
      </x:c>
      <x:c r="W306" s="69" t="str"/>
      <x:c r="X306" s="72" t="n">
        <x:v>40725</x:v>
      </x:c>
      <x:c r="Y306" s="70" t="b">
        <x:v>1</x:v>
      </x:c>
      <x:c r="Z306" s="69" t="str">
        <x:v>Compatibility required</x:v>
      </x:c>
      <x:c r="AA306" s="69" t="str">
        <x:v>https://github.com/jwild2027/heico-ai-internship-summer-2026/blob/srv/tiff/trace_net_graph_explorer.py</x:v>
      </x:c>
      <x:c r="AB306" s="69" t="str">
        <x:v>shared &lt;= string:schema, string:trust_tier; ingestion &lt;= path:tiff, string:convert, string:tiff; ocr &lt;= string:ocr; tables &lt;= symbol:column, symbol:table, string:column, string:table; graph &lt;= path:graph, symbol:graph, string:graph, string:has_context, string:part_on_page; embeddings &lt;= string:candidate_chunk, string:rag_candidate</x:v>
      </x:c>
    </x:row>
    <x:row r="307">
      <x:c r="A307" s="68" t="n">
        <x:v>306</x:v>
      </x:c>
      <x:c r="B307" s="69" t="str">
        <x:v>tiff/trace_net_graph_explorer_quality.py</x:v>
      </x:c>
      <x:c r="C307" s="69" t="str">
        <x:v>trace_net_graph_explorer_quality.py</x:v>
      </x:c>
      <x:c r="D307" s="69" t="str">
        <x:v>graph</x:v>
      </x:c>
      <x:c r="E307" s="69" t="str">
        <x:v>ingestion</x:v>
      </x:c>
      <x:c r="F307" s="69" t="str">
        <x:v>graph</x:v>
      </x:c>
      <x:c r="G307" s="69" t="str">
        <x:v>src/trace_net/graph/quality/</x:v>
      </x:c>
      <x:c r="H307" s="69" t="str">
        <x:v>src/trace_net/graph/quality/trace_net_graph_explorer_quality.py</x:v>
      </x:c>
      <x:c r="I307" s="69" t="str">
        <x:v>quality validator module</x:v>
      </x:c>
      <x:c r="J307" s="69" t="str">
        <x:v>MOVE_WITH_IMPORT_UPDATES_AND_COMPATIBILITY_WRAPPER</x:v>
      </x:c>
      <x:c r="K307" s="70" t="b">
        <x:v>1</x:v>
      </x:c>
      <x:c r="L307" s="70" t="b">
        <x:v>0</x:v>
      </x:c>
      <x:c r="M307" s="70" t="b">
        <x:v>1</x:v>
      </x:c>
      <x:c r="N307" s="69" t="n">
        <x:v>2</x:v>
      </x:c>
      <x:c r="O307" s="69" t="n">
        <x:v>0</x:v>
      </x:c>
      <x:c r="P307" s="69" t="str">
        <x:v>scripts/check_trace_net_graph_explorer_quality.py; tests/unit/test_tiff_trace_net_graph_explorer_quality.py</x:v>
      </x:c>
      <x:c r="Q307" s="71" t="n">
        <x:v>0.97</x:v>
      </x:c>
      <x:c r="R307" s="69" t="str">
        <x:v>graph/Leiden/Postgres naming</x:v>
      </x:c>
      <x:c r="S307" s="69" t="str">
        <x:v>Quality logic is reusable source code for the graph stage.</x:v>
      </x:c>
      <x:c r="T307" s="69" t="str">
        <x:v>Update test and script imports; retain the old tiff import as a thin wrapper until PASS.</x:v>
      </x:c>
      <x:c r="U307" s="69" t="str"/>
      <x:c r="V307" s="69" t="str"/>
      <x:c r="W307" s="69" t="str"/>
      <x:c r="X307" s="72" t="n">
        <x:v>6904</x:v>
      </x:c>
      <x:c r="Y307" s="70" t="b">
        <x:v>1</x:v>
      </x:c>
      <x:c r="Z307" s="69" t="str">
        <x:v>Compatibility required</x:v>
      </x:c>
      <x:c r="AA307" s="69" t="str">
        <x:v>https://github.com/jwild2027/heico-ai-internship-summer-2026/blob/srv/tiff/trace_net_graph_explorer_quality.py</x:v>
      </x:c>
      <x:c r="AB307" s="69" t="str">
        <x:v>ingestion &lt;= path:tiff; graph &lt;= path:graph, string:graph, string:has_context, string:part_on_page; context &lt;= string:page_context; referenced_by_count=1; imported_by_count=2</x:v>
      </x:c>
    </x:row>
    <x:row r="308">
      <x:c r="A308" s="68" t="n">
        <x:v>307</x:v>
      </x:c>
      <x:c r="B308" s="69" t="str">
        <x:v>tiff/trace_net_graph_overlay_part_lineage_v1.py</x:v>
      </x:c>
      <x:c r="C308" s="69" t="str">
        <x:v>trace_net_graph_overlay_part_lineage_v1.py</x:v>
      </x:c>
      <x:c r="D308" s="69" t="str">
        <x:v>graph</x:v>
      </x:c>
      <x:c r="E308" s="69" t="str">
        <x:v>serving, benchmarks</x:v>
      </x:c>
      <x:c r="F308" s="69" t="str">
        <x:v>graph</x:v>
      </x:c>
      <x:c r="G308" s="69" t="str">
        <x:v>src/trace_net/graph/</x:v>
      </x:c>
      <x:c r="H308" s="69" t="str">
        <x:v>src/trace_net/graph/trace_net_graph_overlay_part_lineage_v1.py</x:v>
      </x:c>
      <x:c r="I308" s="69" t="str">
        <x:v>active library module</x:v>
      </x:c>
      <x:c r="J308" s="69" t="str">
        <x:v>MOVE_WITH_IMPORT_UPDATES_AND_COMPATIBILITY_WRAPPER</x:v>
      </x:c>
      <x:c r="K308" s="70" t="b">
        <x:v>1</x:v>
      </x:c>
      <x:c r="L308" s="70" t="b">
        <x:v>0</x:v>
      </x:c>
      <x:c r="M308" s="70" t="b">
        <x:v>1</x:v>
      </x:c>
      <x:c r="N308" s="69" t="n">
        <x:v>4</x:v>
      </x:c>
      <x:c r="O308" s="69" t="n">
        <x:v>0</x:v>
      </x:c>
      <x:c r="P308" s="69" t="str">
        <x:v>scripts/build_trace_net_graph_overlay_part_lineage_v1.py; scripts/check_trace_net_graph_overlay_part_lineage_v1_quality.py; tests/unit/test_trace_net_graph_overlay_part_lineage_v1.py; tests/unit/test_trace_net_graph_overlay_part_lineage_v1_quality.py</x:v>
      </x:c>
      <x:c r="Q308" s="71" t="n">
        <x:v>0.95</x:v>
      </x:c>
      <x:c r="R308" s="69" t="str">
        <x:v>graph/Leiden/Postgres naming</x:v>
      </x:c>
      <x:c r="S308" s="69" t="str">
        <x:v>Primary implementation belongs to the graph stage based on filename, imports, and inventory evidence.</x:v>
      </x:c>
      <x:c r="T308" s="69" t="str">
        <x:v>Update imports and retain the old tiff module as a wrapper when callers exist.</x:v>
      </x:c>
      <x:c r="U308" s="69" t="str"/>
      <x:c r="V308" s="69" t="str"/>
      <x:c r="W308" s="69" t="str"/>
      <x:c r="X308" s="72" t="n">
        <x:v>30088</x:v>
      </x:c>
      <x:c r="Y308" s="70" t="b">
        <x:v>1</x:v>
      </x:c>
      <x:c r="Z308" s="69" t="str">
        <x:v>Compatibility required</x:v>
      </x:c>
      <x:c r="AA308" s="69" t="str">
        <x:v>https://github.com/jwild2027/heico-ai-internship-summer-2026/blob/srv/tiff/trace_net_graph_overlay_part_lineage_v1.py</x:v>
      </x:c>
      <x:c r="AB308" s="69" t="str">
        <x:v>shared &lt;= string:schema; ingestion &lt;= path:tiff; ocr &lt;= string:fishnet; visual &lt;= string:visual; tables &lt;= symbol:table, string:table, string:table_cell; graph &lt;= path:graph, string:community, string:graph, string:has_context, string:has_nomenclature</x:v>
      </x:c>
    </x:row>
    <x:row r="309">
      <x:c r="A309" s="68" t="n">
        <x:v>308</x:v>
      </x:c>
      <x:c r="B309" s="69" t="str">
        <x:v>tiff/trace_net_graph_overlay_part_property_normalizer_v1.py</x:v>
      </x:c>
      <x:c r="C309" s="69" t="str">
        <x:v>trace_net_graph_overlay_part_property_normalizer_v1.py</x:v>
      </x:c>
      <x:c r="D309" s="69" t="str">
        <x:v>graph</x:v>
      </x:c>
      <x:c r="E309" s="69" t="str">
        <x:v>benchmarks, ingestion, tables, serving</x:v>
      </x:c>
      <x:c r="F309" s="69" t="str">
        <x:v>graph</x:v>
      </x:c>
      <x:c r="G309" s="69" t="str">
        <x:v>src/trace_net/graph/</x:v>
      </x:c>
      <x:c r="H309" s="69" t="str">
        <x:v>src/trace_net/graph/trace_net_graph_overlay_part_property_normalizer_v1.py</x:v>
      </x:c>
      <x:c r="I309" s="69" t="str">
        <x:v>artifact builder implementation</x:v>
      </x:c>
      <x:c r="J309" s="69" t="str">
        <x:v>MOVE_WITH_IMPORT_UPDATES_AND_COMPATIBILITY_WRAPPER</x:v>
      </x:c>
      <x:c r="K309" s="70" t="b">
        <x:v>1</x:v>
      </x:c>
      <x:c r="L309" s="70" t="b">
        <x:v>0</x:v>
      </x:c>
      <x:c r="M309" s="70" t="b">
        <x:v>1</x:v>
      </x:c>
      <x:c r="N309" s="69" t="n">
        <x:v>2</x:v>
      </x:c>
      <x:c r="O309" s="69" t="n">
        <x:v>0</x:v>
      </x:c>
      <x:c r="P309" s="69" t="str">
        <x:v>scripts/build_trace_net_graph_overlay_part_property_normalizer_v1.py; scripts/check_trace_net_graph_overlay_part_property_normalizer_v1_quality.py</x:v>
      </x:c>
      <x:c r="Q309" s="71" t="n">
        <x:v>0.96</x:v>
      </x:c>
      <x:c r="R309" s="69" t="str">
        <x:v>graph/Leiden/Postgres naming</x:v>
      </x:c>
      <x:c r="S309" s="69" t="str">
        <x:v>Build implementation is imported by active wrappers/tests and belongs to the graph package.</x:v>
      </x:c>
      <x:c r="T309" s="69" t="str">
        <x:v>Update wrapper imports and compare generated artifact counts/checksums.</x:v>
      </x:c>
      <x:c r="U309" s="69" t="str"/>
      <x:c r="V309" s="69" t="str"/>
      <x:c r="W309" s="69" t="str"/>
      <x:c r="X309" s="72" t="n">
        <x:v>31751</x:v>
      </x:c>
      <x:c r="Y309" s="70" t="b">
        <x:v>1</x:v>
      </x:c>
      <x:c r="Z309" s="69" t="str">
        <x:v>Compatibility required</x:v>
      </x:c>
      <x:c r="AA309" s="69" t="str">
        <x:v>https://github.com/jwild2027/heico-ai-internship-summer-2026/blob/srv/tiff/trace_net_graph_overlay_part_property_normalizer_v1.py</x:v>
      </x:c>
      <x:c r="AB309" s="69" t="str">
        <x:v>shared &lt;= string:schema; ingestion &lt;= path:tiff; ocr &lt;= string:fishnet; visual &lt;= string:callout, string:visual; tables &lt;= symbol:table, string:table, string:table_cell; graph &lt;= path:graph, symbol:graph, string:graph, string:has_context, string:has_nomenclature, string:leiden</x:v>
      </x:c>
    </x:row>
    <x:row r="310">
      <x:c r="A310" s="68" t="n">
        <x:v>309</x:v>
      </x:c>
      <x:c r="B310" s="69" t="str">
        <x:v>tiff/trace_net_graph_query_api_v1.py</x:v>
      </x:c>
      <x:c r="C310" s="69" t="str">
        <x:v>trace_net_graph_query_api_v1.py</x:v>
      </x:c>
      <x:c r="D310" s="69" t="str">
        <x:v>serving</x:v>
      </x:c>
      <x:c r="E310" s="69" t="str">
        <x:v>graph</x:v>
      </x:c>
      <x:c r="F310" s="69" t="str">
        <x:v>serving</x:v>
      </x:c>
      <x:c r="G310" s="69" t="str">
        <x:v>src/trace_net/serving/</x:v>
      </x:c>
      <x:c r="H310" s="69" t="str">
        <x:v>src/trace_net/serving/trace_net_graph_query_api_v1.py</x:v>
      </x:c>
      <x:c r="I310" s="69" t="str">
        <x:v>serving/runtime module</x:v>
      </x:c>
      <x:c r="J310" s="69" t="str">
        <x:v>MOVE_WITH_PROTECTED_COMPATIBILITY_WRAPPER</x:v>
      </x:c>
      <x:c r="K310" s="70" t="b">
        <x:v>1</x:v>
      </x:c>
      <x:c r="L310" s="70" t="b">
        <x:v>1</x:v>
      </x:c>
      <x:c r="M310" s="70" t="b">
        <x:v>1</x:v>
      </x:c>
      <x:c r="N310" s="69" t="n">
        <x:v>5</x:v>
      </x:c>
      <x:c r="O310" s="69" t="n">
        <x:v>0</x:v>
      </x:c>
      <x:c r="P310" s="69" t="str">
        <x:v>scripts/check_trace_net_graph_query_api_v1_quality.py; scripts/run_trace_net_graph_query_api_v1.py; tests/unit/test_trace_net_graph_query_api_v1.py; tests/unit/test_trace_net_graph_query_api_v1_quality.py; tests/unit/test_trace_net_graph_query_api_v1_script_imports.py</x:v>
      </x:c>
      <x:c r="Q310" s="71" t="n">
        <x:v>0.98</x:v>
      </x:c>
      <x:c r="R310" s="69" t="str">
        <x:v>graph/Leiden/Postgres naming</x:v>
      </x:c>
      <x:c r="S310" s="69" t="str">
        <x:v>API, endpoint, server, bridge, or console implementation used by runtime callers.</x:v>
      </x:c>
      <x:c r="T310" s="69" t="str">
        <x:v>Old entrypoint must remain callable; verify relevant ports and OpenWebUI behavior.</x:v>
      </x:c>
      <x:c r="U310" s="69" t="str">
        <x:v>8015</x:v>
      </x:c>
      <x:c r="V310" s="69" t="str"/>
      <x:c r="W310" s="69" t="str">
        <x:v>tiff/trace_net_graph_query_api_v1_1.py</x:v>
      </x:c>
      <x:c r="X310" s="72" t="n">
        <x:v>25666</x:v>
      </x:c>
      <x:c r="Y310" s="70" t="b">
        <x:v>1</x:v>
      </x:c>
      <x:c r="Z310" s="69" t="str">
        <x:v>Protected runtime</x:v>
      </x:c>
      <x:c r="AA310" s="69" t="str">
        <x:v>https://github.com/jwild2027/heico-ai-internship-summer-2026/blob/srv/tiff/trace_net_graph_query_api_v1.py</x:v>
      </x:c>
      <x:c r="AB310" s="69" t="str">
        <x:v>shared &lt;= symbol:identifier, string:contract, string:helper, string:schema; ingestion &lt;= path:tiff; graph &lt;= path:graph, symbol:graph, string:community, string:graph; embeddings &lt;= string:qdrant; retrieval &lt;= string:opensearch, string:retriev; context &lt;= string:page_context</x:v>
      </x:c>
    </x:row>
    <x:row r="311">
      <x:c r="A311" s="68" t="n">
        <x:v>310</x:v>
      </x:c>
      <x:c r="B311" s="69" t="str">
        <x:v>tiff/trace_net_graph_query_api_v1_1.py</x:v>
      </x:c>
      <x:c r="C311" s="69" t="str">
        <x:v>trace_net_graph_query_api_v1_1.py</x:v>
      </x:c>
      <x:c r="D311" s="69" t="str">
        <x:v>serving</x:v>
      </x:c>
      <x:c r="E311" s="69" t="str">
        <x:v>graph</x:v>
      </x:c>
      <x:c r="F311" s="69" t="str">
        <x:v>serving</x:v>
      </x:c>
      <x:c r="G311" s="69" t="str">
        <x:v>src/trace_net/serving/</x:v>
      </x:c>
      <x:c r="H311" s="69" t="str">
        <x:v>src/trace_net/serving/trace_net_graph_query_api_v1_1.py</x:v>
      </x:c>
      <x:c r="I311" s="69" t="str">
        <x:v>serving/runtime module</x:v>
      </x:c>
      <x:c r="J311" s="69" t="str">
        <x:v>MOVE_WITH_PROTECTED_COMPATIBILITY_WRAPPER</x:v>
      </x:c>
      <x:c r="K311" s="70" t="b">
        <x:v>1</x:v>
      </x:c>
      <x:c r="L311" s="70" t="b">
        <x:v>1</x:v>
      </x:c>
      <x:c r="M311" s="70" t="b">
        <x:v>1</x:v>
      </x:c>
      <x:c r="N311" s="69" t="n">
        <x:v>4</x:v>
      </x:c>
      <x:c r="O311" s="69" t="n">
        <x:v>0</x:v>
      </x:c>
      <x:c r="P311" s="69" t="str">
        <x:v>scripts/check_trace_net_graph_query_api_v1_1_quality.py; scripts/run_trace_net_graph_query_api_v1_1.py; tests/unit/test_trace_net_graph_query_api_v1_1.py; tests/unit/test_trace_net_graph_query_api_v1_1_quality.py</x:v>
      </x:c>
      <x:c r="Q311" s="71" t="n">
        <x:v>0.98</x:v>
      </x:c>
      <x:c r="R311" s="69" t="str">
        <x:v>graph/Leiden/Postgres naming</x:v>
      </x:c>
      <x:c r="S311" s="69" t="str">
        <x:v>API, endpoint, server, bridge, or console implementation used by runtime callers.</x:v>
      </x:c>
      <x:c r="T311" s="69" t="str">
        <x:v>Old entrypoint must remain callable; verify relevant ports and OpenWebUI behavior.</x:v>
      </x:c>
      <x:c r="U311" s="69" t="str">
        <x:v>8016</x:v>
      </x:c>
      <x:c r="V311" s="69" t="str"/>
      <x:c r="W311" s="69" t="str"/>
      <x:c r="X311" s="72" t="n">
        <x:v>34341</x:v>
      </x:c>
      <x:c r="Y311" s="70" t="b">
        <x:v>1</x:v>
      </x:c>
      <x:c r="Z311" s="69" t="str">
        <x:v>Protected runtime</x:v>
      </x:c>
      <x:c r="AA311" s="69" t="str">
        <x:v>https://github.com/jwild2027/heico-ai-internship-summer-2026/blob/srv/tiff/trace_net_graph_query_api_v1_1.py</x:v>
      </x:c>
      <x:c r="AB311" s="69" t="str">
        <x:v>shared &lt;= string:contract, string:helper, string:schema; ingestion &lt;= path:tiff; graph &lt;= path:graph, symbol:graph, string:community, string:graph, string:leiden; embeddings &lt;= string:qdrant; retrieval &lt;= string:opensearch, string:retriev; serving &lt;= path:api, symbol:api, symbol:serve, import:http, import:serve, import:server, import:sse, string:api</x:v>
      </x:c>
    </x:row>
    <x:row r="312">
      <x:c r="A312" s="68" t="n">
        <x:v>311</x:v>
      </x:c>
      <x:c r="B312" s="69" t="str">
        <x:v>tiff/trace_net_graph_query_evidence_enrichment_v1.py</x:v>
      </x:c>
      <x:c r="C312" s="69" t="str">
        <x:v>trace_net_graph_query_evidence_enrichment_v1.py</x:v>
      </x:c>
      <x:c r="D312" s="69" t="str">
        <x:v>graph</x:v>
      </x:c>
      <x:c r="E312" s="69" t="str">
        <x:v>shared, ingestion</x:v>
      </x:c>
      <x:c r="F312" s="69" t="str">
        <x:v>graph</x:v>
      </x:c>
      <x:c r="G312" s="69" t="str">
        <x:v>src/trace_net/graph/</x:v>
      </x:c>
      <x:c r="H312" s="69" t="str">
        <x:v>src/trace_net/graph/trace_net_graph_query_evidence_enrichment_v1.py</x:v>
      </x:c>
      <x:c r="I312" s="69" t="str">
        <x:v>active library module</x:v>
      </x:c>
      <x:c r="J312" s="69" t="str">
        <x:v>MOVE_WITH_IMPORT_UPDATES_AND_COMPATIBILITY_WRAPPER</x:v>
      </x:c>
      <x:c r="K312" s="70" t="b">
        <x:v>1</x:v>
      </x:c>
      <x:c r="L312" s="70" t="b">
        <x:v>0</x:v>
      </x:c>
      <x:c r="M312" s="70" t="b">
        <x:v>1</x:v>
      </x:c>
      <x:c r="N312" s="69" t="n">
        <x:v>5</x:v>
      </x:c>
      <x:c r="O312" s="69" t="n">
        <x:v>0</x:v>
      </x:c>
      <x:c r="P312" s="69" t="str">
        <x:v>scripts/build_trace_net_graph_query_evidence_enrichment_v1.py; scripts/check_trace_net_graph_query_evidence_enrichment_v1_quality.py; tests/unit/test_trace_net_graph_query_evidence_enrichment_v1.py; tests/unit/test_trace_net_graph_query_evidence_enrichment_v1_quality.py; tests/unit/test_trace_net_graph_query_evidence_enrichment_v1_script_imports.py</x:v>
      </x:c>
      <x:c r="Q312" s="71" t="n">
        <x:v>0.95</x:v>
      </x:c>
      <x:c r="R312" s="69" t="str">
        <x:v>graph/Leiden/Postgres naming</x:v>
      </x:c>
      <x:c r="S312" s="69" t="str">
        <x:v>Primary implementation belongs to the graph stage based on filename, imports, and inventory evidence.</x:v>
      </x:c>
      <x:c r="T312" s="69" t="str">
        <x:v>Update imports and retain the old tiff module as a wrapper when callers exist.</x:v>
      </x:c>
      <x:c r="U312" s="69" t="str"/>
      <x:c r="V312" s="69" t="str"/>
      <x:c r="W312" s="69" t="str"/>
      <x:c r="X312" s="72" t="n">
        <x:v>58456</x:v>
      </x:c>
      <x:c r="Y312" s="70" t="b">
        <x:v>1</x:v>
      </x:c>
      <x:c r="Z312" s="69" t="str">
        <x:v>Compatibility required</x:v>
      </x:c>
      <x:c r="AA312" s="69" t="str">
        <x:v>https://github.com/jwild2027/heico-ai-internship-summer-2026/blob/srv/tiff/trace_net_graph_query_evidence_enrichment_v1.py</x:v>
      </x:c>
      <x:c r="AB312" s="69" t="str">
        <x:v>shared &lt;= symbol:helper, symbol:identifier, string:contract, string:dublin_core, string:helper, string:identifier; ingestion &lt;= path:tiff, symbol:extract_page; graph &lt;= path:graph, symbol:graph, symbol:leiden, string:community, string:graph, string:leiden; embeddings &lt;= string:qdrant; retrieval &lt;= symbol:opensearch, string:opensearch, string:retriev; serving &lt;= import:sse, string:api, string:bridge</x:v>
      </x:c>
    </x:row>
    <x:row r="313">
      <x:c r="A313" s="68" t="n">
        <x:v>312</x:v>
      </x:c>
      <x:c r="B313" s="69" t="str">
        <x:v>tiff/trace_net_graph_query_helper_v1.py</x:v>
      </x:c>
      <x:c r="C313" s="69" t="str">
        <x:v>trace_net_graph_query_helper_v1.py</x:v>
      </x:c>
      <x:c r="D313" s="69" t="str">
        <x:v>graph</x:v>
      </x:c>
      <x:c r="E313" s="69" t="str">
        <x:v>shared, ingestion, serving, benchmarks</x:v>
      </x:c>
      <x:c r="F313" s="69" t="str">
        <x:v>graph</x:v>
      </x:c>
      <x:c r="G313" s="69" t="str">
        <x:v>src/trace_net/graph/</x:v>
      </x:c>
      <x:c r="H313" s="69" t="str">
        <x:v>src/trace_net/graph/trace_net_graph_query_helper_v1.py</x:v>
      </x:c>
      <x:c r="I313" s="69" t="str">
        <x:v>active library module</x:v>
      </x:c>
      <x:c r="J313" s="69" t="str">
        <x:v>MOVE_WITH_IMPORT_UPDATES_AND_COMPATIBILITY_WRAPPER</x:v>
      </x:c>
      <x:c r="K313" s="70" t="b">
        <x:v>1</x:v>
      </x:c>
      <x:c r="L313" s="70" t="b">
        <x:v>0</x:v>
      </x:c>
      <x:c r="M313" s="70" t="b">
        <x:v>1</x:v>
      </x:c>
      <x:c r="N313" s="69" t="n">
        <x:v>8</x:v>
      </x:c>
      <x:c r="O313" s="69" t="n">
        <x:v>0</x:v>
      </x:c>
      <x:c r="P313" s="69" t="str">
        <x:v>scripts/build_trace_net_graph_query_helper_v1.py; scripts/check_trace_net_graph_query_helper_v1_quality.py; scripts/run_trace_net_tiff_grounded20_v1.py; scripts/trace_net_h30_graph_source_retrieval_v1.py; scripts/trace_net_h30_page_content_bridge_v1.py; tests/unit/test_trace_net_graph_query_helper_v1.py; tests/unit/test_trace_net_graph_query_helper_v1_quality.py; tests/unit/test_trace_net_h30_page_content_bridge_v1.py</x:v>
      </x:c>
      <x:c r="Q313" s="71" t="n">
        <x:v>0.95</x:v>
      </x:c>
      <x:c r="R313" s="69" t="str">
        <x:v>graph/Leiden/Postgres naming</x:v>
      </x:c>
      <x:c r="S313" s="69" t="str">
        <x:v>Primary implementation belongs to the graph stage based on filename, imports, and inventory evidence.</x:v>
      </x:c>
      <x:c r="T313" s="69" t="str">
        <x:v>Update imports and retain the old tiff module as a wrapper when callers exist.</x:v>
      </x:c>
      <x:c r="U313" s="69" t="str"/>
      <x:c r="V313" s="69" t="str"/>
      <x:c r="W313" s="69" t="str"/>
      <x:c r="X313" s="72" t="n">
        <x:v>48745</x:v>
      </x:c>
      <x:c r="Y313" s="70" t="b">
        <x:v>1</x:v>
      </x:c>
      <x:c r="Z313" s="69" t="str">
        <x:v>Compatibility required</x:v>
      </x:c>
      <x:c r="AA313" s="69" t="str">
        <x:v>https://github.com/jwild2027/heico-ai-internship-summer-2026/blob/srv/tiff/trace_net_graph_query_helper_v1.py</x:v>
      </x:c>
      <x:c r="AB313" s="69" t="str">
        <x:v>shared &lt;= path:helper, symbol:dublin_core, symbol:helper, string:contract, string:dublin_core, string:helper, string:schema; ingestion &lt;= path:tiff, symbol:extract_page, string:tiff; ocr &lt;= string:ocr; tables &lt;= symbol:table, string:table; graph &lt;= path:graph, symbol:graph, symbol:leiden, string:community, string:graph, string:leiden; embeddings &lt;= string:qdrant</x:v>
      </x:c>
    </x:row>
    <x:row r="314">
      <x:c r="A314" s="68" t="n">
        <x:v>313</x:v>
      </x:c>
      <x:c r="B314" s="69" t="str">
        <x:v>tiff/trace_net_graph_ui_community_overlay_v1.py</x:v>
      </x:c>
      <x:c r="C314" s="69" t="str">
        <x:v>trace_net_graph_ui_community_overlay_v1.py</x:v>
      </x:c>
      <x:c r="D314" s="69" t="str">
        <x:v>graph</x:v>
      </x:c>
      <x:c r="E314" s="69" t="str"/>
      <x:c r="F314" s="69" t="str">
        <x:v>graph</x:v>
      </x:c>
      <x:c r="G314" s="69" t="str">
        <x:v>src/trace_net/graph/</x:v>
      </x:c>
      <x:c r="H314" s="69" t="str">
        <x:v>src/trace_net/graph/trace_net_graph_ui_community_overlay_v1.py</x:v>
      </x:c>
      <x:c r="I314" s="69" t="str">
        <x:v>active library module</x:v>
      </x:c>
      <x:c r="J314" s="69" t="str">
        <x:v>MOVE_WITH_IMPORT_UPDATES_AND_COMPATIBILITY_WRAPPER</x:v>
      </x:c>
      <x:c r="K314" s="70" t="b">
        <x:v>1</x:v>
      </x:c>
      <x:c r="L314" s="70" t="b">
        <x:v>0</x:v>
      </x:c>
      <x:c r="M314" s="70" t="b">
        <x:v>1</x:v>
      </x:c>
      <x:c r="N314" s="69" t="n">
        <x:v>4</x:v>
      </x:c>
      <x:c r="O314" s="69" t="n">
        <x:v>0</x:v>
      </x:c>
      <x:c r="P314" s="69" t="str">
        <x:v>scripts/build_trace_net_graph_ui_community_overlay_v1.py; scripts/check_trace_net_graph_ui_community_overlay_v1_quality.py; tests/unit/test_trace_net_graph_ui_community_overlay_v1.py; tests/unit/test_trace_net_graph_ui_community_overlay_v1_quality.py</x:v>
      </x:c>
      <x:c r="Q314" s="71" t="n">
        <x:v>0.95</x:v>
      </x:c>
      <x:c r="R314" s="69" t="str">
        <x:v>graph/Leiden/Postgres naming</x:v>
      </x:c>
      <x:c r="S314" s="69" t="str">
        <x:v>Primary implementation belongs to the graph stage based on filename, imports, and inventory evidence.</x:v>
      </x:c>
      <x:c r="T314" s="69" t="str">
        <x:v>Update imports and retain the old tiff module as a wrapper when callers exist.</x:v>
      </x:c>
      <x:c r="U314" s="69" t="str"/>
      <x:c r="V314" s="69" t="str"/>
      <x:c r="W314" s="69" t="str"/>
      <x:c r="X314" s="72" t="n">
        <x:v>49303</x:v>
      </x:c>
      <x:c r="Y314" s="70" t="b">
        <x:v>1</x:v>
      </x:c>
      <x:c r="Z314" s="69" t="str">
        <x:v>Compatibility required</x:v>
      </x:c>
      <x:c r="AA314" s="69" t="str">
        <x:v>https://github.com/jwild2027/heico-ai-internship-summer-2026/blob/srv/tiff/trace_net_graph_ui_community_overlay_v1.py</x:v>
      </x:c>
      <x:c r="AB314" s="69" t="str">
        <x:v>shared &lt;= string:schema; ingestion &lt;= path:tiff; tables &lt;= symbol:table, string:table, string:table_cell; graph &lt;= path:community, path:graph, symbol:community, symbol:graph, string:community, string:graph, string:has_context, string:has_nomenclature; embeddings &lt;= string:qdrant; retrieval &lt;= symbol:retriev, string:retriev, string:source_resolution</x:v>
      </x:c>
    </x:row>
    <x:row r="315">
      <x:c r="A315" s="68" t="n">
        <x:v>314</x:v>
      </x:c>
      <x:c r="B315" s="69" t="str">
        <x:v>tiff/trace_net_graph_writeback_overlay_v1.py</x:v>
      </x:c>
      <x:c r="C315" s="69" t="str">
        <x:v>trace_net_graph_writeback_overlay_v1.py</x:v>
      </x:c>
      <x:c r="D315" s="69" t="str">
        <x:v>graph</x:v>
      </x:c>
      <x:c r="E315" s="69" t="str">
        <x:v>tables, serving, benchmarks</x:v>
      </x:c>
      <x:c r="F315" s="69" t="str">
        <x:v>graph</x:v>
      </x:c>
      <x:c r="G315" s="69" t="str">
        <x:v>src/trace_net/graph/</x:v>
      </x:c>
      <x:c r="H315" s="69" t="str">
        <x:v>src/trace_net/graph/trace_net_graph_writeback_overlay_v1.py</x:v>
      </x:c>
      <x:c r="I315" s="69" t="str">
        <x:v>data/storage integration module</x:v>
      </x:c>
      <x:c r="J315" s="69" t="str">
        <x:v>MOVE_WITH_IMPORT_UPDATES_AND_COMPATIBILITY_WRAPPER</x:v>
      </x:c>
      <x:c r="K315" s="70" t="b">
        <x:v>1</x:v>
      </x:c>
      <x:c r="L315" s="70" t="b">
        <x:v>0</x:v>
      </x:c>
      <x:c r="M315" s="70" t="b">
        <x:v>1</x:v>
      </x:c>
      <x:c r="N315" s="69" t="n">
        <x:v>4</x:v>
      </x:c>
      <x:c r="O315" s="69" t="n">
        <x:v>0</x:v>
      </x:c>
      <x:c r="P315" s="69" t="str">
        <x:v>scripts/build_trace_net_graph_writeback_overlay_v1.py; scripts/check_trace_net_graph_writeback_overlay_v1_quality.py; tests/unit/test_trace_net_graph_writeback_overlay_v1.py; tests/unit/test_trace_net_graph_writeback_overlay_v1_quality.py</x:v>
      </x:c>
      <x:c r="Q315" s="71" t="n">
        <x:v>0.95</x:v>
      </x:c>
      <x:c r="R315" s="69" t="str">
        <x:v>graph/Leiden/Postgres naming</x:v>
      </x:c>
      <x:c r="S315" s="69" t="str">
        <x:v>Loader/writeback logic is imported by active scripts or tests.</x:v>
      </x:c>
      <x:c r="T315" s="69" t="str">
        <x:v>Preserve lineage, dry-run defaults, and source-truth mutation gates.</x:v>
      </x:c>
      <x:c r="U315" s="69" t="str"/>
      <x:c r="V315" s="69" t="str"/>
      <x:c r="W315" s="69" t="str"/>
      <x:c r="X315" s="72" t="n">
        <x:v>33910</x:v>
      </x:c>
      <x:c r="Y315" s="70" t="b">
        <x:v>1</x:v>
      </x:c>
      <x:c r="Z315" s="69" t="str">
        <x:v>Compatibility required</x:v>
      </x:c>
      <x:c r="AA315" s="69" t="str">
        <x:v>https://github.com/jwild2027/heico-ai-internship-summer-2026/blob/srv/tiff/trace_net_graph_writeback_overlay_v1.py</x:v>
      </x:c>
      <x:c r="AB315" s="69" t="str">
        <x:v>shared &lt;= string:schema; ingestion &lt;= path:tiff; ocr &lt;= string:fishnet; visual &lt;= string:callout, string:visual; tables &lt;= symbol:table, string:table, string:table_cell, string:table_row; graph &lt;= path:graph, symbol:graph, string:graph, string:has_context, string:has_nomenclature</x:v>
      </x:c>
    </x:row>
    <x:row r="316">
      <x:c r="A316" s="68" t="n">
        <x:v>315</x:v>
      </x:c>
      <x:c r="B316" s="69" t="str">
        <x:v>tiff/trace_net_h16c_llm_answer_reliability_v1.py</x:v>
      </x:c>
      <x:c r="C316" s="69" t="str">
        <x:v>trace_net_h16c_llm_answer_reliability_v1.py</x:v>
      </x:c>
      <x:c r="D316" s="69" t="str">
        <x:v>llm_writing</x:v>
      </x:c>
      <x:c r="E316" s="69" t="str">
        <x:v>shared, ingestion, benchmarks</x:v>
      </x:c>
      <x:c r="F316" s="69" t="str">
        <x:v>validation</x:v>
      </x:c>
      <x:c r="G316" s="69" t="str">
        <x:v>src/trace_net/validation/</x:v>
      </x:c>
      <x:c r="H316" s="69" t="str">
        <x:v>src/trace_net/validation/trace_net_h16c_llm_answer_reliability_v1.py</x:v>
      </x:c>
      <x:c r="I316" s="69" t="str">
        <x:v>active library module</x:v>
      </x:c>
      <x:c r="J316" s="69" t="str">
        <x:v>MOVE_WITH_IMPORT_UPDATES_AND_COMPATIBILITY_WRAPPER</x:v>
      </x:c>
      <x:c r="K316" s="70" t="b">
        <x:v>1</x:v>
      </x:c>
      <x:c r="L316" s="70" t="b">
        <x:v>0</x:v>
      </x:c>
      <x:c r="M316" s="70" t="b">
        <x:v>1</x:v>
      </x:c>
      <x:c r="N316" s="69" t="n">
        <x:v>2</x:v>
      </x:c>
      <x:c r="O316" s="69" t="n">
        <x:v>1</x:v>
      </x:c>
      <x:c r="P316" s="69" t="str">
        <x:v>scripts/filter_trace_net_engineering_llm_question_bank_v1.py; tests/unit/test_trace_net_h16c_llm_answer_reliability_v1.py; docs/trace_net_engineering_engram_prompt_reliability_h16c_README.md</x:v>
      </x:c>
      <x:c r="Q316" s="71" t="n">
        <x:v>0.95</x:v>
      </x:c>
      <x:c r="R316" s="69" t="str">
        <x:v>cross-cutting validation/reliability</x:v>
      </x:c>
      <x:c r="S316" s="69" t="str">
        <x:v>Primary implementation belongs to the validation stage based on filename, imports, and inventory evidence.</x:v>
      </x:c>
      <x:c r="T316" s="69" t="str">
        <x:v>Update imports and retain the old tiff module as a wrapper when callers exist.</x:v>
      </x:c>
      <x:c r="U316" s="69" t="str"/>
      <x:c r="V316" s="69" t="str"/>
      <x:c r="W316" s="69" t="str"/>
      <x:c r="X316" s="72" t="n">
        <x:v>4279</x:v>
      </x:c>
      <x:c r="Y316" s="70" t="b">
        <x:v>1</x:v>
      </x:c>
      <x:c r="Z316" s="69" t="str">
        <x:v>Compatibility required</x:v>
      </x:c>
      <x:c r="AA316" s="69" t="str">
        <x:v>https://github.com/jwild2027/heico-ai-internship-summer-2026/blob/srv/tiff/trace_net_h16c_llm_answer_reliability_v1.py</x:v>
      </x:c>
      <x:c r="AB316" s="69" t="str">
        <x:v>shared &lt;= symbol:contract, string:contract, string:helper; ingestion &lt;= path:tiff; ocr &lt;= string:ocr; embeddings &lt;= string:qdrant; retrieval &lt;= string:opensearch; llm_writing &lt;= path:llm_answer, symbol:llm_answer, string:gemma, string:llm_answer</x:v>
      </x:c>
    </x:row>
    <x:row r="317">
      <x:c r="A317" s="68" t="n">
        <x:v>316</x:v>
      </x:c>
      <x:c r="B317" s="69" t="str">
        <x:v>tiff/trace_net_h16d_llm_answer_reliability_v1.py</x:v>
      </x:c>
      <x:c r="C317" s="69" t="str">
        <x:v>trace_net_h16d_llm_answer_reliability_v1.py</x:v>
      </x:c>
      <x:c r="D317" s="69" t="str">
        <x:v>llm_writing</x:v>
      </x:c>
      <x:c r="E317" s="69" t="str">
        <x:v>shared, ingestion</x:v>
      </x:c>
      <x:c r="F317" s="69" t="str">
        <x:v>validation</x:v>
      </x:c>
      <x:c r="G317" s="69" t="str">
        <x:v>src/trace_net/validation/</x:v>
      </x:c>
      <x:c r="H317" s="69" t="str">
        <x:v>src/trace_net/validation/trace_net_h16d_llm_answer_reliability_v1.py</x:v>
      </x:c>
      <x:c r="I317" s="69" t="str">
        <x:v>active library module</x:v>
      </x:c>
      <x:c r="J317" s="69" t="str">
        <x:v>MOVE_WITH_IMPORT_UPDATES_AND_COMPATIBILITY_WRAPPER</x:v>
      </x:c>
      <x:c r="K317" s="70" t="b">
        <x:v>1</x:v>
      </x:c>
      <x:c r="L317" s="70" t="b">
        <x:v>0</x:v>
      </x:c>
      <x:c r="M317" s="70" t="b">
        <x:v>1</x:v>
      </x:c>
      <x:c r="N317" s="69" t="n">
        <x:v>2</x:v>
      </x:c>
      <x:c r="O317" s="69" t="n">
        <x:v>0</x:v>
      </x:c>
      <x:c r="P317" s="69" t="str">
        <x:v>scripts/filter_trace_net_engineering_llm_question_bank_v1.py; tests/unit/test_trace_net_h16d_llm_answer_reliability_v1.py</x:v>
      </x:c>
      <x:c r="Q317" s="71" t="n">
        <x:v>0.95</x:v>
      </x:c>
      <x:c r="R317" s="69" t="str">
        <x:v>cross-cutting validation/reliability</x:v>
      </x:c>
      <x:c r="S317" s="69" t="str">
        <x:v>Primary implementation belongs to the validation stage based on filename, imports, and inventory evidence.</x:v>
      </x:c>
      <x:c r="T317" s="69" t="str">
        <x:v>Update imports and retain the old tiff module as a wrapper when callers exist.</x:v>
      </x:c>
      <x:c r="U317" s="69" t="str"/>
      <x:c r="V317" s="69" t="str"/>
      <x:c r="W317" s="69" t="str"/>
      <x:c r="X317" s="72" t="n">
        <x:v>3699</x:v>
      </x:c>
      <x:c r="Y317" s="70" t="b">
        <x:v>1</x:v>
      </x:c>
      <x:c r="Z317" s="69" t="str">
        <x:v>Compatibility required</x:v>
      </x:c>
      <x:c r="AA317" s="69" t="str">
        <x:v>https://github.com/jwild2027/heico-ai-internship-summer-2026/blob/srv/tiff/trace_net_h16d_llm_answer_reliability_v1.py</x:v>
      </x:c>
      <x:c r="AB317" s="69" t="str">
        <x:v>shared &lt;= symbol:contract, string:contract, string:helper; ingestion &lt;= path:tiff; ocr &lt;= string:ocr; embeddings &lt;= string:qdrant; retrieval &lt;= string:opensearch; context &lt;= string:source_trace</x:v>
      </x:c>
    </x:row>
    <x:row r="318">
      <x:c r="A318" s="68" t="n">
        <x:v>317</x:v>
      </x:c>
      <x:c r="B318" s="69" t="str">
        <x:v>tiff/trace_net_h27_engram_answer_smoke_overlay_map_v1.py</x:v>
      </x:c>
      <x:c r="C318" s="69" t="str">
        <x:v>trace_net_h27_engram_answer_smoke_overlay_map_v1.py</x:v>
      </x:c>
      <x:c r="D318" s="69" t="str">
        <x:v>brain_engram</x:v>
      </x:c>
      <x:c r="E318" s="69" t="str">
        <x:v>benchmarks, ingestion, shared</x:v>
      </x:c>
      <x:c r="F318" s="69" t="str">
        <x:v>scripts/benchmark</x:v>
      </x:c>
      <x:c r="G318" s="69" t="str">
        <x:v>scripts/benchmark/</x:v>
      </x:c>
      <x:c r="H318" s="69" t="str">
        <x:v>scripts/benchmark/trace_net_h27_engram_answer_smoke_overlay_map_v1.py</x:v>
      </x:c>
      <x:c r="I318" s="69" t="str">
        <x:v>benchmark/evaluation command</x:v>
      </x:c>
      <x:c r="J318" s="69" t="str">
        <x:v>MOVE_WITH_IMPORT_UPDATES_AND_COMPATIBILITY_WRAPPER</x:v>
      </x:c>
      <x:c r="K318" s="70" t="b">
        <x:v>1</x:v>
      </x:c>
      <x:c r="L318" s="70" t="b">
        <x:v>0</x:v>
      </x:c>
      <x:c r="M318" s="70" t="b">
        <x:v>1</x:v>
      </x:c>
      <x:c r="N318" s="69" t="n">
        <x:v>1</x:v>
      </x:c>
      <x:c r="O318" s="69" t="n">
        <x:v>0</x:v>
      </x:c>
      <x:c r="P318" s="69" t="str">
        <x:v>tests/unit/test_trace_net_h27_engram_answer_smoke_overlay_map_v1.py</x:v>
      </x:c>
      <x:c r="Q318" s="71" t="n">
        <x:v>0.94</x:v>
      </x:c>
      <x:c r="R318" s="69" t="str">
        <x:v>engram/memory naming</x:v>
      </x:c>
      <x:c r="S318" s="69" t="str">
        <x:v>Evaluation, smoke, audit, experiment, or report command is not a runtime dependency.</x:v>
      </x:c>
      <x:c r="T318" s="69" t="str">
        <x:v>Preserve arguments/output paths; update any test imports; run a focused smoke.</x:v>
      </x:c>
      <x:c r="U318" s="69" t="str"/>
      <x:c r="V318" s="69" t="str"/>
      <x:c r="W318" s="69" t="str"/>
      <x:c r="X318" s="72" t="n">
        <x:v>4535</x:v>
      </x:c>
      <x:c r="Y318" s="70" t="b">
        <x:v>1</x:v>
      </x:c>
      <x:c r="Z318" s="69" t="str">
        <x:v>Compatibility required</x:v>
      </x:c>
      <x:c r="AA318" s="69" t="str">
        <x:v>https://github.com/jwild2027/heico-ai-internship-summer-2026/blob/srv/tiff/trace_net_h27_engram_answer_smoke_overlay_map_v1.py</x:v>
      </x:c>
      <x:c r="AB318" s="69" t="str">
        <x:v>shared &lt;= symbol:contract, string:helper; ingestion &lt;= path:tiff; embeddings &lt;= string:qdrant; retrieval &lt;= string:opensearch, string:retriev; brain_engram &lt;= path:engram, symbol:engram, string:engram; context &lt;= string:proof_context</x:v>
      </x:c>
    </x:row>
    <x:row r="319">
      <x:c r="A319" s="68" t="n">
        <x:v>318</x:v>
      </x:c>
      <x:c r="B319" s="69" t="str">
        <x:v>tiff/trace_net_h33_full30_progress_runner_v1.py</x:v>
      </x:c>
      <x:c r="C319" s="69" t="str">
        <x:v>trace_net_h33_full30_progress_runner_v1.py</x:v>
      </x:c>
      <x:c r="D319" s="69" t="str">
        <x:v>ingestion</x:v>
      </x:c>
      <x:c r="E319" s="69" t="str"/>
      <x:c r="F319" s="69" t="str">
        <x:v>validation</x:v>
      </x:c>
      <x:c r="G319" s="69" t="str">
        <x:v>src/trace_net/validation/</x:v>
      </x:c>
      <x:c r="H319" s="69" t="str">
        <x:v>src/trace_net/validation/trace_net_h33_full30_progress_runner_v1.py</x:v>
      </x:c>
      <x:c r="I319" s="69" t="str">
        <x:v>benchmark implementation module</x:v>
      </x:c>
      <x:c r="J319" s="69" t="str">
        <x:v>MOVE_WITH_IMPORT_UPDATES_AND_COMPATIBILITY_WRAPPER</x:v>
      </x:c>
      <x:c r="K319" s="70" t="b">
        <x:v>1</x:v>
      </x:c>
      <x:c r="L319" s="70" t="b">
        <x:v>0</x:v>
      </x:c>
      <x:c r="M319" s="70" t="b">
        <x:v>1</x:v>
      </x:c>
      <x:c r="N319" s="69" t="n">
        <x:v>2</x:v>
      </x:c>
      <x:c r="O319" s="69" t="n">
        <x:v>0</x:v>
      </x:c>
      <x:c r="P319" s="69" t="str">
        <x:v>scripts/run_trace_net_h33_full30_with_progress_v1.py; tests/unit/test_trace_net_h33_full30_progress_runner_v1.py</x:v>
      </x:c>
      <x:c r="Q319" s="71" t="n">
        <x:v>0.95</x:v>
      </x:c>
      <x:c r="R319" s="69" t="str">
        <x:v>inventory stage: ingestion</x:v>
      </x:c>
      <x:c r="S319" s="69" t="str">
        <x:v>Substantial benchmark/reliability implementation is imported by script wrappers and tests.</x:v>
      </x:c>
      <x:c r="T319" s="69" t="str">
        <x:v>Update run/check script imports and preserve question/output contracts.</x:v>
      </x:c>
      <x:c r="U319" s="69" t="str"/>
      <x:c r="V319" s="69" t="str">
        <x:v>TRACE_NET_H33_FULL30_ANSWER_BUDGET_OVERLAY_BUILT</x:v>
      </x:c>
      <x:c r="W319" s="69" t="str"/>
      <x:c r="X319" s="72" t="n">
        <x:v>13621</x:v>
      </x:c>
      <x:c r="Y319" s="70" t="b">
        <x:v>1</x:v>
      </x:c>
      <x:c r="Z319" s="69" t="str">
        <x:v>Compatibility required</x:v>
      </x:c>
      <x:c r="AA319" s="69" t="str">
        <x:v>https://github.com/jwild2027/heico-ai-internship-summer-2026/blob/srv/tiff/trace_net_h33_full30_progress_runner_v1.py</x:v>
      </x:c>
      <x:c r="AB319" s="69" t="str">
        <x:v>shared &lt;= string:contract, string:helper, string:utilities; ingestion &lt;= path:tiff; graph &lt;= string:graph; embeddings &lt;= string:qdrant; retrieval &lt;= string:opensearch, string:retriev; brain_engram &lt;= string:engram</x:v>
      </x:c>
    </x:row>
    <x:row r="320">
      <x:c r="A320" s="68" t="n">
        <x:v>319</x:v>
      </x:c>
      <x:c r="B320" s="69" t="str">
        <x:v>tiff/trace_net_h34_custom_question_progress_runner_v1.py</x:v>
      </x:c>
      <x:c r="C320" s="69" t="str">
        <x:v>trace_net_h34_custom_question_progress_runner_v1.py</x:v>
      </x:c>
      <x:c r="D320" s="69" t="str">
        <x:v>serving</x:v>
      </x:c>
      <x:c r="E320" s="69" t="str">
        <x:v>ingestion</x:v>
      </x:c>
      <x:c r="F320" s="69" t="str">
        <x:v>validation</x:v>
      </x:c>
      <x:c r="G320" s="69" t="str">
        <x:v>src/trace_net/validation/</x:v>
      </x:c>
      <x:c r="H320" s="69" t="str">
        <x:v>src/trace_net/validation/trace_net_h34_custom_question_progress_runner_v1.py</x:v>
      </x:c>
      <x:c r="I320" s="69" t="str">
        <x:v>benchmark implementation module</x:v>
      </x:c>
      <x:c r="J320" s="69" t="str">
        <x:v>MOVE_WITH_IMPORT_UPDATES_AND_COMPATIBILITY_WRAPPER</x:v>
      </x:c>
      <x:c r="K320" s="70" t="b">
        <x:v>1</x:v>
      </x:c>
      <x:c r="L320" s="70" t="b">
        <x:v>1</x:v>
      </x:c>
      <x:c r="M320" s="70" t="b">
        <x:v>1</x:v>
      </x:c>
      <x:c r="N320" s="69" t="n">
        <x:v>2</x:v>
      </x:c>
      <x:c r="O320" s="69" t="n">
        <x:v>0</x:v>
      </x:c>
      <x:c r="P320" s="69" t="str">
        <x:v>scripts/run_trace_net_h34b_custom5_progress_v1.py; tests/unit/test_trace_net_h34_custom_question_progress_runner_v1.py</x:v>
      </x:c>
      <x:c r="Q320" s="71" t="n">
        <x:v>0.95</x:v>
      </x:c>
      <x:c r="R320" s="69" t="str">
        <x:v>inventory stage: serving</x:v>
      </x:c>
      <x:c r="S320" s="69" t="str">
        <x:v>Substantial benchmark/reliability implementation is imported by script wrappers and tests.</x:v>
      </x:c>
      <x:c r="T320" s="69" t="str">
        <x:v>Update run/check script imports and preserve question/output contracts.</x:v>
      </x:c>
      <x:c r="U320" s="69" t="str">
        <x:v>11434</x:v>
      </x:c>
      <x:c r="V320" s="69" t="str">
        <x:v>TRACE_NET_H34B_CUSTOM_QUESTION_PROGRESS_RUN_BUILT</x:v>
      </x:c>
      <x:c r="W320" s="69" t="str"/>
      <x:c r="X320" s="72" t="n">
        <x:v>24064</x:v>
      </x:c>
      <x:c r="Y320" s="70" t="b">
        <x:v>1</x:v>
      </x:c>
      <x:c r="Z320" s="69" t="str">
        <x:v>Protected runtime</x:v>
      </x:c>
      <x:c r="AA320" s="69" t="str">
        <x:v>https://github.com/jwild2027/heico-ai-internship-summer-2026/blob/srv/tiff/trace_net_h34_custom_question_progress_runner_v1.py</x:v>
      </x:c>
      <x:c r="AB320" s="69" t="str">
        <x:v>ingestion &lt;= path:tiff; ocr &lt;= string:ocr; visual &lt;= string:figure_link, string:image_visual, string:visual; tables &lt;= string:ipl, string:table; embeddings &lt;= string:qdrant; retrieval &lt;= string:opensearch</x:v>
      </x:c>
    </x:row>
    <x:row r="321">
      <x:c r="A321" s="68" t="n">
        <x:v>320</x:v>
      </x:c>
      <x:c r="B321" s="69" t="str">
        <x:v>tiff/trace_net_h34_custom_question_progress_runner_v1.py.bak_h34b_no_progress_cli_repair_20260702_081331</x:v>
      </x:c>
      <x:c r="C321" s="69" t="str">
        <x:v>trace_net_h34_custom_question_progress_runner_v1.py.bak_h34b_no_progress_cli_repair_20260702_081331</x:v>
      </x:c>
      <x:c r="D321" s="69" t="str">
        <x:v>ingestion</x:v>
      </x:c>
      <x:c r="E321" s="69" t="str"/>
      <x:c r="F321" s="69" t="str">
        <x:v>legacy</x:v>
      </x:c>
      <x:c r="G321" s="69" t="str">
        <x:v>legacy/tiff_backups/</x:v>
      </x:c>
      <x:c r="H321" s="69" t="str">
        <x:v>legacy/tiff_backups/trace_net_h34_custom_question_progress_runner_v1.py.bak_h34b_no_progress_cli_repair_20260702_081331</x:v>
      </x:c>
      <x:c r="I321" s="69" t="str">
        <x:v>backup snapshot</x:v>
      </x:c>
      <x:c r="J321" s="69" t="str">
        <x:v>LEGACY_ARCHIVE_WITH_GIT_MV</x:v>
      </x:c>
      <x:c r="K321" s="70" t="b">
        <x:v>0</x:v>
      </x:c>
      <x:c r="L321" s="70" t="b">
        <x:v>0</x:v>
      </x:c>
      <x:c r="M321" s="70" t="b">
        <x:v>0</x:v>
      </x:c>
      <x:c r="N321" s="69" t="n">
        <x:v>0</x:v>
      </x:c>
      <x:c r="O321" s="69" t="n">
        <x:v>0</x:v>
      </x:c>
      <x:c r="P321" s="69" t="str"/>
      <x:c r="Q321" s="71" t="n">
        <x:v>1</x:v>
      </x:c>
      <x:c r="R321" s="69" t="str">
        <x:v>backup snapshot</x:v>
      </x:c>
      <x:c r="S321" s="69" t="str">
        <x:v>Timestamped or pre-change backup copy beside the active module.</x:v>
      </x:c>
      <x:c r="T321" s="69" t="str">
        <x:v>Archive only; do not delete. Confirm the non-backup active file exists first.</x:v>
      </x:c>
      <x:c r="U321" s="69" t="str"/>
      <x:c r="V321" s="69" t="str"/>
      <x:c r="W321" s="69" t="str"/>
      <x:c r="X321" s="72" t="n">
        <x:v>23983</x:v>
      </x:c>
      <x:c r="Y321" s="70" t="b">
        <x:v>1</x:v>
      </x:c>
      <x:c r="Z321" s="69" t="str">
        <x:v>Legacy archive</x:v>
      </x:c>
      <x:c r="AA321" s="69" t="str">
        <x:v>https://github.com/jwild2027/heico-ai-internship-summer-2026/blob/srv/tiff/trace_net_h34_custom_question_progress_runner_v1.py.bak_h34b_no_progress_cli_repair_20260702_081331</x:v>
      </x:c>
      <x:c r="AB321" s="69" t="str">
        <x:v>ingestion &lt;= path:tiff; referenced_by_count=2</x:v>
      </x:c>
    </x:row>
    <x:row r="322">
      <x:c r="A322" s="68" t="n">
        <x:v>321</x:v>
      </x:c>
      <x:c r="B322" s="69" t="str">
        <x:v>tiff/trace_net_h35_custom_task_contract_runner_v1.py</x:v>
      </x:c>
      <x:c r="C322" s="69" t="str">
        <x:v>trace_net_h35_custom_task_contract_runner_v1.py</x:v>
      </x:c>
      <x:c r="D322" s="69" t="str">
        <x:v>shared</x:v>
      </x:c>
      <x:c r="E322" s="69" t="str"/>
      <x:c r="F322" s="69" t="str">
        <x:v>validation</x:v>
      </x:c>
      <x:c r="G322" s="69" t="str">
        <x:v>src/trace_net/validation/</x:v>
      </x:c>
      <x:c r="H322" s="69" t="str">
        <x:v>src/trace_net/validation/trace_net_h35_custom_task_contract_runner_v1.py</x:v>
      </x:c>
      <x:c r="I322" s="69" t="str">
        <x:v>active library module</x:v>
      </x:c>
      <x:c r="J322" s="69" t="str">
        <x:v>MOVE_WITH_PROTECTED_COMPATIBILITY_WRAPPER</x:v>
      </x:c>
      <x:c r="K322" s="70" t="b">
        <x:v>1</x:v>
      </x:c>
      <x:c r="L322" s="70" t="b">
        <x:v>1</x:v>
      </x:c>
      <x:c r="M322" s="70" t="b">
        <x:v>1</x:v>
      </x:c>
      <x:c r="N322" s="69" t="n">
        <x:v>3</x:v>
      </x:c>
      <x:c r="O322" s="69" t="n">
        <x:v>0</x:v>
      </x:c>
      <x:c r="P322" s="69" t="str">
        <x:v>scripts/check_trace_net_h35_custom_task_contract_runner_v1.py; scripts/run_trace_net_h35_custom_task_contract_runner_v1.py; tests/unit/test_trace_net_h35_custom_task_contract_runner_v1.py</x:v>
      </x:c>
      <x:c r="Q322" s="71" t="n">
        <x:v>0.95</x:v>
      </x:c>
      <x:c r="R322" s="69" t="str">
        <x:v>cross-cutting validation/reliability</x:v>
      </x:c>
      <x:c r="S322" s="69" t="str">
        <x:v>Primary implementation belongs to the validation stage based on filename, imports, and inventory evidence.</x:v>
      </x:c>
      <x:c r="T322" s="69" t="str">
        <x:v>Update imports and retain the old tiff module as a wrapper when callers exist.</x:v>
      </x:c>
      <x:c r="U322" s="69" t="str">
        <x:v>11434</x:v>
      </x:c>
      <x:c r="V322" s="69" t="str">
        <x:v>TRACE_NET_H35_CUSTOM_TASK_CONTRACT_RUN_BUILT, TRACE_NET_H35_CUSTOM_TASK_CONTRACT_RUN_CHECKED</x:v>
      </x:c>
      <x:c r="W322" s="69" t="str"/>
      <x:c r="X322" s="72" t="n">
        <x:v>31054</x:v>
      </x:c>
      <x:c r="Y322" s="70" t="b">
        <x:v>1</x:v>
      </x:c>
      <x:c r="Z322" s="69" t="str">
        <x:v>Protected runtime</x:v>
      </x:c>
      <x:c r="AA322" s="69" t="str">
        <x:v>https://github.com/jwild2027/heico-ai-internship-summer-2026/blob/srv/tiff/trace_net_h35_custom_task_contract_runner_v1.py</x:v>
      </x:c>
      <x:c r="AB322" s="69" t="str">
        <x:v>shared &lt;= path:contract, symbol:contract, string:contract, environment:contract; ingestion &lt;= path:tiff; ocr &lt;= string:ocr; visual &lt;= string:image_visual, string:visual; tables &lt;= string:table; graph &lt;= string:graph</x:v>
      </x:c>
    </x:row>
    <x:row r="323">
      <x:c r="A323" s="68" t="n">
        <x:v>322</x:v>
      </x:c>
      <x:c r="B323" s="69" t="str">
        <x:v>tiff/trace_net_h36_complex_task_validator_v1.py</x:v>
      </x:c>
      <x:c r="C323" s="69" t="str">
        <x:v>trace_net_h36_complex_task_validator_v1.py</x:v>
      </x:c>
      <x:c r="D323" s="69" t="str">
        <x:v>validation</x:v>
      </x:c>
      <x:c r="E323" s="69" t="str"/>
      <x:c r="F323" s="69" t="str">
        <x:v>validation</x:v>
      </x:c>
      <x:c r="G323" s="69" t="str">
        <x:v>src/trace_net/validation/</x:v>
      </x:c>
      <x:c r="H323" s="69" t="str">
        <x:v>src/trace_net/validation/trace_net_h36_complex_task_validator_v1.py</x:v>
      </x:c>
      <x:c r="I323" s="69" t="str">
        <x:v>active library module</x:v>
      </x:c>
      <x:c r="J323" s="69" t="str">
        <x:v>MOVE_WITH_IMPORT_UPDATES_AND_COMPATIBILITY_WRAPPER</x:v>
      </x:c>
      <x:c r="K323" s="70" t="b">
        <x:v>1</x:v>
      </x:c>
      <x:c r="L323" s="70" t="b">
        <x:v>0</x:v>
      </x:c>
      <x:c r="M323" s="70" t="b">
        <x:v>1</x:v>
      </x:c>
      <x:c r="N323" s="69" t="n">
        <x:v>3</x:v>
      </x:c>
      <x:c r="O323" s="69" t="n">
        <x:v>1</x:v>
      </x:c>
      <x:c r="P323" s="69" t="str">
        <x:v>scripts/build_trace_net_h36_complex_task_validator_v1.py; scripts/check_trace_net_h36_complex_task_validator_v1.py; tests/unit/test_trace_net_h36_complex_task_validator_v1.py; tools/patch_archive/apply_trace_net_h36b_validator_negation_regrade_patch_v1.py</x:v>
      </x:c>
      <x:c r="Q323" s="71" t="n">
        <x:v>0.95</x:v>
      </x:c>
      <x:c r="R323" s="69" t="str">
        <x:v>cross-cutting validation/reliability</x:v>
      </x:c>
      <x:c r="S323" s="69" t="str">
        <x:v>Primary implementation belongs to the validation stage based on filename, imports, and inventory evidence.</x:v>
      </x:c>
      <x:c r="T323" s="69" t="str">
        <x:v>Update imports and retain the old tiff module as a wrapper when callers exist.</x:v>
      </x:c>
      <x:c r="U323" s="69" t="str"/>
      <x:c r="V323" s="69" t="str">
        <x:v>TRACE_NET_H36_COMPLEX_TASK_VALIDATOR_BUILT, TRACE_NET_H36_COMPLEX_TASK_VALIDATOR_CHECKED</x:v>
      </x:c>
      <x:c r="W323" s="69" t="str"/>
      <x:c r="X323" s="72" t="n">
        <x:v>21158</x:v>
      </x:c>
      <x:c r="Y323" s="70" t="b">
        <x:v>1</x:v>
      </x:c>
      <x:c r="Z323" s="69" t="str">
        <x:v>Compatibility required</x:v>
      </x:c>
      <x:c r="AA323" s="69" t="str">
        <x:v>https://github.com/jwild2027/heico-ai-internship-summer-2026/blob/srv/tiff/trace_net_h36_complex_task_validator_v1.py</x:v>
      </x:c>
      <x:c r="AB323" s="69" t="str">
        <x:v>shared &lt;= symbol:contract, string:contract; ingestion &lt;= path:tiff; graph &lt;= string:relationship; context &lt;= string:proof_context; validation &lt;= path:validator, symbol:validator, string:fallback, string:validator, environment:validator; serving &lt;= import:sse</x:v>
      </x:c>
    </x:row>
    <x:row r="324">
      <x:c r="A324" s="68" t="n">
        <x:v>323</x:v>
      </x:c>
      <x:c r="B324" s="69" t="str">
        <x:v>tiff/trace_net_h36_complex_task_validator_v1.py.bak_h36b_validator_negation_regrade_patch_v1_20260702_090232</x:v>
      </x:c>
      <x:c r="C324" s="69" t="str">
        <x:v>trace_net_h36_complex_task_validator_v1.py.bak_h36b_validator_negation_regrade_patch_v1_20260702_090232</x:v>
      </x:c>
      <x:c r="D324" s="69" t="str">
        <x:v>ingestion</x:v>
      </x:c>
      <x:c r="E324" s="69" t="str">
        <x:v>validation</x:v>
      </x:c>
      <x:c r="F324" s="69" t="str">
        <x:v>legacy</x:v>
      </x:c>
      <x:c r="G324" s="69" t="str">
        <x:v>legacy/tiff_backups/</x:v>
      </x:c>
      <x:c r="H324" s="69" t="str">
        <x:v>legacy/tiff_backups/trace_net_h36_complex_task_validator_v1.py.bak_h36b_validator_negation_regrade_patch_v1_20260702_090232</x:v>
      </x:c>
      <x:c r="I324" s="69" t="str">
        <x:v>backup snapshot</x:v>
      </x:c>
      <x:c r="J324" s="69" t="str">
        <x:v>LEGACY_ARCHIVE_WITH_GIT_MV</x:v>
      </x:c>
      <x:c r="K324" s="70" t="b">
        <x:v>0</x:v>
      </x:c>
      <x:c r="L324" s="70" t="b">
        <x:v>0</x:v>
      </x:c>
      <x:c r="M324" s="70" t="b">
        <x:v>0</x:v>
      </x:c>
      <x:c r="N324" s="69" t="n">
        <x:v>0</x:v>
      </x:c>
      <x:c r="O324" s="69" t="n">
        <x:v>0</x:v>
      </x:c>
      <x:c r="P324" s="69" t="str"/>
      <x:c r="Q324" s="71" t="n">
        <x:v>1</x:v>
      </x:c>
      <x:c r="R324" s="69" t="str">
        <x:v>backup snapshot</x:v>
      </x:c>
      <x:c r="S324" s="69" t="str">
        <x:v>Timestamped or pre-change backup copy beside the active module.</x:v>
      </x:c>
      <x:c r="T324" s="69" t="str">
        <x:v>Archive only; do not delete. Confirm the non-backup active file exists first.</x:v>
      </x:c>
      <x:c r="U324" s="69" t="str"/>
      <x:c r="V324" s="69" t="str"/>
      <x:c r="W324" s="69" t="str"/>
      <x:c r="X324" s="72" t="n">
        <x:v>20598</x:v>
      </x:c>
      <x:c r="Y324" s="70" t="b">
        <x:v>1</x:v>
      </x:c>
      <x:c r="Z324" s="69" t="str">
        <x:v>Legacy archive</x:v>
      </x:c>
      <x:c r="AA324" s="69" t="str">
        <x:v>https://github.com/jwild2027/heico-ai-internship-summer-2026/blob/srv/tiff/trace_net_h36_complex_task_validator_v1.py.bak_h36b_validator_negation_regrade_patch_v1_20260702_090232</x:v>
      </x:c>
      <x:c r="AB324" s="69" t="str">
        <x:v>ingestion &lt;= path:tiff; validation &lt;= path:validator; referenced_by_count=2</x:v>
      </x:c>
    </x:row>
    <x:row r="325">
      <x:c r="A325" s="68" t="n">
        <x:v>324</x:v>
      </x:c>
      <x:c r="B325" s="69" t="str">
        <x:v>tiff/trace_net_h37_diversity_evidence_planner_v1.py</x:v>
      </x:c>
      <x:c r="C325" s="69" t="str">
        <x:v>trace_net_h37_diversity_evidence_planner_v1.py</x:v>
      </x:c>
      <x:c r="D325" s="69" t="str">
        <x:v>ingestion</x:v>
      </x:c>
      <x:c r="E325" s="69" t="str">
        <x:v>shared, operations, visual</x:v>
      </x:c>
      <x:c r="F325" s="69" t="str">
        <x:v>validation</x:v>
      </x:c>
      <x:c r="G325" s="69" t="str">
        <x:v>src/trace_net/validation/</x:v>
      </x:c>
      <x:c r="H325" s="69" t="str">
        <x:v>src/trace_net/validation/trace_net_h37_diversity_evidence_planner_v1.py</x:v>
      </x:c>
      <x:c r="I325" s="69" t="str">
        <x:v>active library module</x:v>
      </x:c>
      <x:c r="J325" s="69" t="str">
        <x:v>MOVE_WITH_IMPORT_UPDATES_AND_COMPATIBILITY_WRAPPER</x:v>
      </x:c>
      <x:c r="K325" s="70" t="b">
        <x:v>1</x:v>
      </x:c>
      <x:c r="L325" s="70" t="b">
        <x:v>0</x:v>
      </x:c>
      <x:c r="M325" s="70" t="b">
        <x:v>1</x:v>
      </x:c>
      <x:c r="N325" s="69" t="n">
        <x:v>5</x:v>
      </x:c>
      <x:c r="O325" s="69" t="n">
        <x:v>2</x:v>
      </x:c>
      <x:c r="P325" s="69" t="str">
        <x:v>scripts/build_trace_net_h37_diversity_evidence_planner_v1.py; scripts/check_trace_net_h37_diversity_evidence_planner_v1.py; tests/unit/test_trace_net_h37_diversity_evidence_planner_v1.py; tests/unit/test_trace_net_h37b_diversity_planner_cleanup_v1.py; tests/unit/test_trace_net_h37c_diversity_planner_cleanup_v1.py; tools/patch_archive/apply_trace_net_h37b_diversity_planner_cleanup_v1.py; tools/patch_archive/apply_trace_net_h37c_diversity_planner_cleanup_v1.py</x:v>
      </x:c>
      <x:c r="Q325" s="71" t="n">
        <x:v>0.95</x:v>
      </x:c>
      <x:c r="R325" s="69" t="str">
        <x:v>cross-cutting validation/reliability</x:v>
      </x:c>
      <x:c r="S325" s="69" t="str">
        <x:v>Primary implementation belongs to the validation stage based on filename, imports, and inventory evidence.</x:v>
      </x:c>
      <x:c r="T325" s="69" t="str">
        <x:v>Update imports and retain the old tiff module as a wrapper when callers exist.</x:v>
      </x:c>
      <x:c r="U325" s="69" t="str"/>
      <x:c r="V325" s="69" t="str">
        <x:v>TRACE_NET_H37_DIVERSITY_EVIDENCE_PLANNER_BUILT, TRACE_NET_H37_DIVERSITY_EVIDENCE_PLANNER_CHECKED</x:v>
      </x:c>
      <x:c r="W325" s="69" t="str"/>
      <x:c r="X325" s="72" t="n">
        <x:v>32313</x:v>
      </x:c>
      <x:c r="Y325" s="70" t="b">
        <x:v>1</x:v>
      </x:c>
      <x:c r="Z325" s="69" t="str">
        <x:v>Compatibility required</x:v>
      </x:c>
      <x:c r="AA325" s="69" t="str">
        <x:v>https://github.com/jwild2027/heico-ai-internship-summer-2026/blob/srv/tiff/trace_net_h37_diversity_evidence_planner_v1.py</x:v>
      </x:c>
      <x:c r="AB325" s="69" t="str">
        <x:v>shared &lt;= symbol:contract, symbol:source_id, string:contract, string:schema; ingestion &lt;= path:tiff, symbol:extract_page; ocr &lt;= string:ocr; visual &lt;= string:callout, string:image_visual, string:llava, string:visual; tables &lt;= string:ipl, string:table; embeddings &lt;= string:qdrant</x:v>
      </x:c>
    </x:row>
    <x:row r="326">
      <x:c r="A326" s="68" t="n">
        <x:v>325</x:v>
      </x:c>
      <x:c r="B326" s="69" t="str">
        <x:v>tiff/trace_net_h37_diversity_evidence_planner_v1.py.bak_h37b_diversity_planner_cleanup_20260702_091240</x:v>
      </x:c>
      <x:c r="C326" s="69" t="str">
        <x:v>trace_net_h37_diversity_evidence_planner_v1.py.bak_h37b_diversity_planner_cleanup_20260702_091240</x:v>
      </x:c>
      <x:c r="D326" s="69" t="str">
        <x:v>ingestion</x:v>
      </x:c>
      <x:c r="E326" s="69" t="str">
        <x:v>operations</x:v>
      </x:c>
      <x:c r="F326" s="69" t="str">
        <x:v>legacy</x:v>
      </x:c>
      <x:c r="G326" s="69" t="str">
        <x:v>legacy/tiff_backups/</x:v>
      </x:c>
      <x:c r="H326" s="69" t="str">
        <x:v>legacy/tiff_backups/trace_net_h37_diversity_evidence_planner_v1.py.bak_h37b_diversity_planner_cleanup_20260702_091240</x:v>
      </x:c>
      <x:c r="I326" s="69" t="str">
        <x:v>backup snapshot</x:v>
      </x:c>
      <x:c r="J326" s="69" t="str">
        <x:v>LEGACY_ARCHIVE_WITH_GIT_MV</x:v>
      </x:c>
      <x:c r="K326" s="70" t="b">
        <x:v>0</x:v>
      </x:c>
      <x:c r="L326" s="70" t="b">
        <x:v>0</x:v>
      </x:c>
      <x:c r="M326" s="70" t="b">
        <x:v>0</x:v>
      </x:c>
      <x:c r="N326" s="69" t="n">
        <x:v>0</x:v>
      </x:c>
      <x:c r="O326" s="69" t="n">
        <x:v>0</x:v>
      </x:c>
      <x:c r="P326" s="69" t="str"/>
      <x:c r="Q326" s="71" t="n">
        <x:v>1</x:v>
      </x:c>
      <x:c r="R326" s="69" t="str">
        <x:v>backup snapshot</x:v>
      </x:c>
      <x:c r="S326" s="69" t="str">
        <x:v>Timestamped or pre-change backup copy beside the active module.</x:v>
      </x:c>
      <x:c r="T326" s="69" t="str">
        <x:v>Archive only; do not delete. Confirm the non-backup active file exists first.</x:v>
      </x:c>
      <x:c r="U326" s="69" t="str"/>
      <x:c r="V326" s="69" t="str"/>
      <x:c r="W326" s="69" t="str"/>
      <x:c r="X326" s="72" t="n">
        <x:v>30914</x:v>
      </x:c>
      <x:c r="Y326" s="70" t="b">
        <x:v>1</x:v>
      </x:c>
      <x:c r="Z326" s="69" t="str">
        <x:v>Legacy archive</x:v>
      </x:c>
      <x:c r="AA326" s="69" t="str">
        <x:v>https://github.com/jwild2027/heico-ai-internship-summer-2026/blob/srv/tiff/trace_net_h37_diversity_evidence_planner_v1.py.bak_h37b_diversity_planner_cleanup_20260702_091240</x:v>
      </x:c>
      <x:c r="AB326" s="69" t="str">
        <x:v>ingestion &lt;= path:tiff; operations &lt;= path:cleanup; referenced_by_count=3</x:v>
      </x:c>
    </x:row>
    <x:row r="327">
      <x:c r="A327" s="68" t="n">
        <x:v>326</x:v>
      </x:c>
      <x:c r="B327" s="69" t="str">
        <x:v>tiff/trace_net_h37_diversity_evidence_planner_v1.py.bak_h37c_diversity_planner_cleanup_20260702_091403</x:v>
      </x:c>
      <x:c r="C327" s="69" t="str">
        <x:v>trace_net_h37_diversity_evidence_planner_v1.py.bak_h37c_diversity_planner_cleanup_20260702_091403</x:v>
      </x:c>
      <x:c r="D327" s="69" t="str">
        <x:v>ingestion</x:v>
      </x:c>
      <x:c r="E327" s="69" t="str">
        <x:v>operations</x:v>
      </x:c>
      <x:c r="F327" s="69" t="str">
        <x:v>legacy</x:v>
      </x:c>
      <x:c r="G327" s="69" t="str">
        <x:v>legacy/tiff_backups/</x:v>
      </x:c>
      <x:c r="H327" s="69" t="str">
        <x:v>legacy/tiff_backups/trace_net_h37_diversity_evidence_planner_v1.py.bak_h37c_diversity_planner_cleanup_20260702_091403</x:v>
      </x:c>
      <x:c r="I327" s="69" t="str">
        <x:v>backup snapshot</x:v>
      </x:c>
      <x:c r="J327" s="69" t="str">
        <x:v>LEGACY_ARCHIVE_WITH_GIT_MV</x:v>
      </x:c>
      <x:c r="K327" s="70" t="b">
        <x:v>0</x:v>
      </x:c>
      <x:c r="L327" s="70" t="b">
        <x:v>0</x:v>
      </x:c>
      <x:c r="M327" s="70" t="b">
        <x:v>0</x:v>
      </x:c>
      <x:c r="N327" s="69" t="n">
        <x:v>0</x:v>
      </x:c>
      <x:c r="O327" s="69" t="n">
        <x:v>0</x:v>
      </x:c>
      <x:c r="P327" s="69" t="str"/>
      <x:c r="Q327" s="71" t="n">
        <x:v>1</x:v>
      </x:c>
      <x:c r="R327" s="69" t="str">
        <x:v>backup snapshot</x:v>
      </x:c>
      <x:c r="S327" s="69" t="str">
        <x:v>Timestamped or pre-change backup copy beside the active module.</x:v>
      </x:c>
      <x:c r="T327" s="69" t="str">
        <x:v>Archive only; do not delete. Confirm the non-backup active file exists first.</x:v>
      </x:c>
      <x:c r="U327" s="69" t="str"/>
      <x:c r="V327" s="69" t="str"/>
      <x:c r="W327" s="69" t="str"/>
      <x:c r="X327" s="72" t="n">
        <x:v>30914</x:v>
      </x:c>
      <x:c r="Y327" s="70" t="b">
        <x:v>1</x:v>
      </x:c>
      <x:c r="Z327" s="69" t="str">
        <x:v>Legacy archive</x:v>
      </x:c>
      <x:c r="AA327" s="69" t="str">
        <x:v>https://github.com/jwild2027/heico-ai-internship-summer-2026/blob/srv/tiff/trace_net_h37_diversity_evidence_planner_v1.py.bak_h37c_diversity_planner_cleanup_20260702_091403</x:v>
      </x:c>
      <x:c r="AB327" s="69" t="str">
        <x:v>ingestion &lt;= path:tiff; operations &lt;= path:cleanup; referenced_by_count=3</x:v>
      </x:c>
    </x:row>
    <x:row r="328">
      <x:c r="A328" s="68" t="n">
        <x:v>327</x:v>
      </x:c>
      <x:c r="B328" s="69" t="str">
        <x:v>tiff/trace_net_h38_diversity_task_runner_v1.py</x:v>
      </x:c>
      <x:c r="C328" s="69" t="str">
        <x:v>trace_net_h38_diversity_task_runner_v1.py</x:v>
      </x:c>
      <x:c r="D328" s="69" t="str">
        <x:v>ingestion</x:v>
      </x:c>
      <x:c r="E328" s="69" t="str"/>
      <x:c r="F328" s="69" t="str">
        <x:v>validation</x:v>
      </x:c>
      <x:c r="G328" s="69" t="str">
        <x:v>src/trace_net/validation/</x:v>
      </x:c>
      <x:c r="H328" s="69" t="str">
        <x:v>src/trace_net/validation/trace_net_h38_diversity_task_runner_v1.py</x:v>
      </x:c>
      <x:c r="I328" s="69" t="str">
        <x:v>benchmark implementation module</x:v>
      </x:c>
      <x:c r="J328" s="69" t="str">
        <x:v>MOVE_WITH_IMPORT_UPDATES_AND_COMPATIBILITY_WRAPPER</x:v>
      </x:c>
      <x:c r="K328" s="70" t="b">
        <x:v>1</x:v>
      </x:c>
      <x:c r="L328" s="70" t="b">
        <x:v>1</x:v>
      </x:c>
      <x:c r="M328" s="70" t="b">
        <x:v>1</x:v>
      </x:c>
      <x:c r="N328" s="69" t="n">
        <x:v>4</x:v>
      </x:c>
      <x:c r="O328" s="69" t="n">
        <x:v>1</x:v>
      </x:c>
      <x:c r="P328" s="69" t="str">
        <x:v>scripts/check_trace_net_h38_diversity_task_runner_v1.py; scripts/run_trace_net_h38_diversity_task_runner_v1.py; tests/unit/test_trace_net_h38_diversity_task_runner_v1.py; tests/unit/test_trace_net_h38b_negation_artifact_repair_v1.py; tools/patch_archive/apply_trace_net_h38b_negation_artifact_repair_v1.py</x:v>
      </x:c>
      <x:c r="Q328" s="71" t="n">
        <x:v>0.95</x:v>
      </x:c>
      <x:c r="R328" s="69" t="str">
        <x:v>cross-cutting validation/reliability</x:v>
      </x:c>
      <x:c r="S328" s="69" t="str">
        <x:v>Substantial benchmark/reliability implementation is imported by script wrappers and tests.</x:v>
      </x:c>
      <x:c r="T328" s="69" t="str">
        <x:v>Update run/check script imports and preserve question/output contracts.</x:v>
      </x:c>
      <x:c r="U328" s="69" t="str">
        <x:v>11434</x:v>
      </x:c>
      <x:c r="V328" s="69" t="str">
        <x:v>TRACE_NET_H38_DIVERSITY_TASK_RUN_BUILT, TRACE_NET_H38_DIVERSITY_TASK_RUN_CHECKED</x:v>
      </x:c>
      <x:c r="W328" s="69" t="str"/>
      <x:c r="X328" s="72" t="n">
        <x:v>24904</x:v>
      </x:c>
      <x:c r="Y328" s="70" t="b">
        <x:v>1</x:v>
      </x:c>
      <x:c r="Z328" s="69" t="str">
        <x:v>Protected runtime</x:v>
      </x:c>
      <x:c r="AA328" s="69" t="str">
        <x:v>https://github.com/jwild2027/heico-ai-internship-summer-2026/blob/srv/tiff/trace_net_h38_diversity_task_runner_v1.py</x:v>
      </x:c>
      <x:c r="AB328" s="69" t="str">
        <x:v>shared &lt;= string:contract, string:schema; ingestion &lt;= path:tiff; embeddings &lt;= string:qdrant; retrieval &lt;= string:opensearch; brain_engram &lt;= string:engram; context &lt;= string:proof_context, string:source_trace</x:v>
      </x:c>
    </x:row>
    <x:row r="329">
      <x:c r="A329" s="68" t="n">
        <x:v>328</x:v>
      </x:c>
      <x:c r="B329" s="69" t="str">
        <x:v>tiff/trace_net_h38_diversity_task_runner_v1.py.bak_h38b_negation_artifact_repair_20260702_092051</x:v>
      </x:c>
      <x:c r="C329" s="69" t="str">
        <x:v>trace_net_h38_diversity_task_runner_v1.py.bak_h38b_negation_artifact_repair_20260702_092051</x:v>
      </x:c>
      <x:c r="D329" s="69" t="str">
        <x:v>ingestion</x:v>
      </x:c>
      <x:c r="E329" s="69" t="str"/>
      <x:c r="F329" s="69" t="str">
        <x:v>legacy</x:v>
      </x:c>
      <x:c r="G329" s="69" t="str">
        <x:v>legacy/tiff_backups/</x:v>
      </x:c>
      <x:c r="H329" s="69" t="str">
        <x:v>legacy/tiff_backups/trace_net_h38_diversity_task_runner_v1.py.bak_h38b_negation_artifact_repair_20260702_092051</x:v>
      </x:c>
      <x:c r="I329" s="69" t="str">
        <x:v>backup snapshot</x:v>
      </x:c>
      <x:c r="J329" s="69" t="str">
        <x:v>LEGACY_ARCHIVE_WITH_GIT_MV</x:v>
      </x:c>
      <x:c r="K329" s="70" t="b">
        <x:v>0</x:v>
      </x:c>
      <x:c r="L329" s="70" t="b">
        <x:v>0</x:v>
      </x:c>
      <x:c r="M329" s="70" t="b">
        <x:v>0</x:v>
      </x:c>
      <x:c r="N329" s="69" t="n">
        <x:v>0</x:v>
      </x:c>
      <x:c r="O329" s="69" t="n">
        <x:v>0</x:v>
      </x:c>
      <x:c r="P329" s="69" t="str"/>
      <x:c r="Q329" s="71" t="n">
        <x:v>1</x:v>
      </x:c>
      <x:c r="R329" s="69" t="str">
        <x:v>backup snapshot</x:v>
      </x:c>
      <x:c r="S329" s="69" t="str">
        <x:v>Timestamped or pre-change backup copy beside the active module.</x:v>
      </x:c>
      <x:c r="T329" s="69" t="str">
        <x:v>Archive only; do not delete. Confirm the non-backup active file exists first.</x:v>
      </x:c>
      <x:c r="U329" s="69" t="str"/>
      <x:c r="V329" s="69" t="str"/>
      <x:c r="W329" s="69" t="str"/>
      <x:c r="X329" s="72" t="n">
        <x:v>24242</x:v>
      </x:c>
      <x:c r="Y329" s="70" t="b">
        <x:v>1</x:v>
      </x:c>
      <x:c r="Z329" s="69" t="str">
        <x:v>Legacy archive</x:v>
      </x:c>
      <x:c r="AA329" s="69" t="str">
        <x:v>https://github.com/jwild2027/heico-ai-internship-summer-2026/blob/srv/tiff/trace_net_h38_diversity_task_runner_v1.py.bak_h38b_negation_artifact_repair_20260702_092051</x:v>
      </x:c>
      <x:c r="AB329" s="69" t="str">
        <x:v>ingestion &lt;= path:tiff; referenced_by_count=2</x:v>
      </x:c>
    </x:row>
    <x:row r="330">
      <x:c r="A330" s="68" t="n">
        <x:v>329</x:v>
      </x:c>
      <x:c r="B330" s="69" t="str">
        <x:v>tiff/trace_net_h38c_diversity_task_repair_runner_v1.py</x:v>
      </x:c>
      <x:c r="C330" s="69" t="str">
        <x:v>trace_net_h38c_diversity_task_repair_runner_v1.py</x:v>
      </x:c>
      <x:c r="D330" s="69" t="str">
        <x:v>ingestion</x:v>
      </x:c>
      <x:c r="E330" s="69" t="str"/>
      <x:c r="F330" s="69" t="str">
        <x:v>ingestion</x:v>
      </x:c>
      <x:c r="G330" s="69" t="str">
        <x:v>src/trace_net/ingestion/</x:v>
      </x:c>
      <x:c r="H330" s="69" t="str">
        <x:v>src/trace_net/ingestion/trace_net_h38c_diversity_task_repair_runner_v1.py</x:v>
      </x:c>
      <x:c r="I330" s="69" t="str">
        <x:v>active library module</x:v>
      </x:c>
      <x:c r="J330" s="69" t="str">
        <x:v>MOVE_WITH_PROTECTED_COMPATIBILITY_WRAPPER</x:v>
      </x:c>
      <x:c r="K330" s="70" t="b">
        <x:v>1</x:v>
      </x:c>
      <x:c r="L330" s="70" t="b">
        <x:v>1</x:v>
      </x:c>
      <x:c r="M330" s="70" t="b">
        <x:v>1</x:v>
      </x:c>
      <x:c r="N330" s="69" t="n">
        <x:v>3</x:v>
      </x:c>
      <x:c r="O330" s="69" t="n">
        <x:v>0</x:v>
      </x:c>
      <x:c r="P330" s="69" t="str">
        <x:v>scripts/check_trace_net_h38c_diversity_task_repair_runner_v1.py; scripts/run_trace_net_h38c_diversity_task_repair_runner_v1.py; tests/unit/test_trace_net_h38c_diversity_task_repair_runner_v1.py</x:v>
      </x:c>
      <x:c r="Q330" s="71" t="n">
        <x:v>0.95</x:v>
      </x:c>
      <x:c r="R330" s="69" t="str">
        <x:v>inventory stage: ingestion</x:v>
      </x:c>
      <x:c r="S330" s="69" t="str">
        <x:v>Primary implementation belongs to the ingestion stage based on filename, imports, and inventory evidence.</x:v>
      </x:c>
      <x:c r="T330" s="69" t="str">
        <x:v>Update imports and retain the old tiff module as a wrapper when callers exist.</x:v>
      </x:c>
      <x:c r="U330" s="69" t="str">
        <x:v>11434</x:v>
      </x:c>
      <x:c r="V330" s="69" t="str">
        <x:v>TRACE_NET_H38C_DIVERSITY_TASK_REPAIR_RUN_BUILT, TRACE_NET_H38C_DIVERSITY_TASK_REPAIR_RUN_CHECKED</x:v>
      </x:c>
      <x:c r="W330" s="69" t="str"/>
      <x:c r="X330" s="72" t="n">
        <x:v>26671</x:v>
      </x:c>
      <x:c r="Y330" s="70" t="b">
        <x:v>1</x:v>
      </x:c>
      <x:c r="Z330" s="69" t="str">
        <x:v>Protected runtime</x:v>
      </x:c>
      <x:c r="AA330" s="69" t="str">
        <x:v>https://github.com/jwild2027/heico-ai-internship-summer-2026/blob/srv/tiff/trace_net_h38c_diversity_task_repair_runner_v1.py</x:v>
      </x:c>
      <x:c r="AB330" s="69" t="str">
        <x:v>shared &lt;= string:contract, string:schema; ingestion &lt;= path:tiff; ocr &lt;= string:ocr; visual &lt;= string:llava, string:visual; tables &lt;= string:table; embeddings &lt;= string:qdrant</x:v>
      </x:c>
    </x:row>
    <x:row r="331">
      <x:c r="A331" s="68" t="n">
        <x:v>330</x:v>
      </x:c>
      <x:c r="B331" s="69" t="str">
        <x:v>tiff/trace_net_h39a_whole_page_vision_summary_v1.py</x:v>
      </x:c>
      <x:c r="C331" s="69" t="str">
        <x:v>trace_net_h39a_whole_page_vision_summary_v1.py</x:v>
      </x:c>
      <x:c r="D331" s="69" t="str">
        <x:v>visual</x:v>
      </x:c>
      <x:c r="E331" s="69" t="str">
        <x:v>ingestion</x:v>
      </x:c>
      <x:c r="F331" s="69" t="str">
        <x:v>visual</x:v>
      </x:c>
      <x:c r="G331" s="69" t="str">
        <x:v>src/trace_net/visual/</x:v>
      </x:c>
      <x:c r="H331" s="69" t="str">
        <x:v>src/trace_net/visual/trace_net_h39a_whole_page_vision_summary_v1.py</x:v>
      </x:c>
      <x:c r="I331" s="69" t="str">
        <x:v>active library module</x:v>
      </x:c>
      <x:c r="J331" s="69" t="str">
        <x:v>MOVE_WITH_PROTECTED_COMPATIBILITY_WRAPPER</x:v>
      </x:c>
      <x:c r="K331" s="70" t="b">
        <x:v>1</x:v>
      </x:c>
      <x:c r="L331" s="70" t="b">
        <x:v>1</x:v>
      </x:c>
      <x:c r="M331" s="70" t="b">
        <x:v>1</x:v>
      </x:c>
      <x:c r="N331" s="69" t="n">
        <x:v>3</x:v>
      </x:c>
      <x:c r="O331" s="69" t="n">
        <x:v>0</x:v>
      </x:c>
      <x:c r="P331" s="69" t="str">
        <x:v>scripts/build_trace_net_h39a_whole_page_vision_summary_v1.py; scripts/check_trace_net_h39a_whole_page_vision_summary_v1.py; tests/unit/test_trace_net_h39a_whole_page_vision_summary_v1.py</x:v>
      </x:c>
      <x:c r="Q331" s="71" t="n">
        <x:v>0.95</x:v>
      </x:c>
      <x:c r="R331" s="69" t="str">
        <x:v>visual/image/vision naming</x:v>
      </x:c>
      <x:c r="S331" s="69" t="str">
        <x:v>Primary implementation belongs to the visual stage based on filename, imports, and inventory evidence.</x:v>
      </x:c>
      <x:c r="T331" s="69" t="str">
        <x:v>Update imports and retain the old tiff module as a wrapper when callers exist.</x:v>
      </x:c>
      <x:c r="U331" s="69" t="str">
        <x:v>11434</x:v>
      </x:c>
      <x:c r="V331" s="69" t="str">
        <x:v>TRACE_NET_H39A_WHOLE_PAGE_VISION_SUMMARY_BUILT, TRACE_NET_H39A_WHOLE_PAGE_VISION_SUMMARY_CHECKED, TRACE_NET_OLLAMA_URL, TRACE_NET_VISION_MODEL</x:v>
      </x:c>
      <x:c r="W331" s="69" t="str"/>
      <x:c r="X331" s="72" t="n">
        <x:v>29487</x:v>
      </x:c>
      <x:c r="Y331" s="70" t="b">
        <x:v>1</x:v>
      </x:c>
      <x:c r="Z331" s="69" t="str">
        <x:v>Protected runtime</x:v>
      </x:c>
      <x:c r="AA331" s="69" t="str">
        <x:v>https://github.com/jwild2027/heico-ai-internship-summer-2026/blob/srv/tiff/trace_net_h39a_whole_page_vision_summary_v1.py</x:v>
      </x:c>
      <x:c r="AB331" s="69" t="str">
        <x:v>ingestion &lt;= path:tiff, symbol:convert, symbol:extract_page, string:convert, string:page_image, string:tiff; ocr &lt;= string:ocr; visual &lt;= path:vision, path:whole_page_vision, symbol:image_visual, symbol:vision, symbol:visual, symbol:whole_page_vision, string:callout, string:image_visual; tables &lt;= string:table; graph &lt;= string:graph, string:relationship; brain_engram &lt;= symbol:engram, string:engram, string:memory_layer</x:v>
      </x:c>
    </x:row>
    <x:row r="332">
      <x:c r="A332" s="68" t="n">
        <x:v>331</x:v>
      </x:c>
      <x:c r="B332" s="69" t="str">
        <x:v>tiff/trace_net_human_review_decision_recorder_v1.py</x:v>
      </x:c>
      <x:c r="C332" s="69" t="str">
        <x:v>trace_net_human_review_decision_recorder_v1.py</x:v>
      </x:c>
      <x:c r="D332" s="69" t="str">
        <x:v>tables</x:v>
      </x:c>
      <x:c r="E332" s="69" t="str">
        <x:v>ingestion</x:v>
      </x:c>
      <x:c r="F332" s="69" t="str">
        <x:v>tables</x:v>
      </x:c>
      <x:c r="G332" s="69" t="str">
        <x:v>src/trace_net/tables/</x:v>
      </x:c>
      <x:c r="H332" s="69" t="str">
        <x:v>src/trace_net/tables/trace_net_human_review_decision_recorder_v1.py</x:v>
      </x:c>
      <x:c r="I332" s="69" t="str">
        <x:v>active library module</x:v>
      </x:c>
      <x:c r="J332" s="69" t="str">
        <x:v>MOVE_WITH_IMPORT_UPDATES_AND_COMPATIBILITY_WRAPPER</x:v>
      </x:c>
      <x:c r="K332" s="70" t="b">
        <x:v>1</x:v>
      </x:c>
      <x:c r="L332" s="70" t="b">
        <x:v>0</x:v>
      </x:c>
      <x:c r="M332" s="70" t="b">
        <x:v>1</x:v>
      </x:c>
      <x:c r="N332" s="69" t="n">
        <x:v>5</x:v>
      </x:c>
      <x:c r="O332" s="69" t="n">
        <x:v>0</x:v>
      </x:c>
      <x:c r="P332" s="69" t="str">
        <x:v>scripts/build_trace_net_human_review_decisions_v1.py; scripts/check_trace_net_human_review_decisions_v1_quality.py; scripts/record_trace_net_human_review_decision_v1.py; tests/unit/test_trace_net_human_review_decision_recorder_v1.py; tests/unit/test_trace_net_human_review_decision_recorder_v1_quality.py</x:v>
      </x:c>
      <x:c r="Q332" s="71" t="n">
        <x:v>0.95</x:v>
      </x:c>
      <x:c r="R332" s="69" t="str">
        <x:v>inventory stage: tables</x:v>
      </x:c>
      <x:c r="S332" s="69" t="str">
        <x:v>Primary implementation belongs to the tables stage based on filename, imports, and inventory evidence.</x:v>
      </x:c>
      <x:c r="T332" s="69" t="str">
        <x:v>Update imports and retain the old tiff module as a wrapper when callers exist.</x:v>
      </x:c>
      <x:c r="U332" s="69" t="str"/>
      <x:c r="V332" s="69" t="str"/>
      <x:c r="W332" s="69" t="str"/>
      <x:c r="X332" s="72" t="n">
        <x:v>34075</x:v>
      </x:c>
      <x:c r="Y332" s="70" t="b">
        <x:v>1</x:v>
      </x:c>
      <x:c r="Z332" s="69" t="str">
        <x:v>Compatibility required</x:v>
      </x:c>
      <x:c r="AA332" s="69" t="str">
        <x:v>https://github.com/jwild2027/heico-ai-internship-summer-2026/blob/srv/tiff/trace_net_human_review_decision_recorder_v1.py</x:v>
      </x:c>
      <x:c r="AB332" s="69" t="str">
        <x:v>shared &lt;= string:schema; ingestion &lt;= path:tiff; visual &lt;= string:callout, string:visual, string:visual_region; tables &lt;= symbol:table, string:table, string:table_cell, string:table_row; graph &lt;= string:community, string:graph; retrieval &lt;= string:retriev, string:source_resolution</x:v>
      </x:c>
    </x:row>
    <x:row r="333">
      <x:c r="A333" s="68" t="n">
        <x:v>332</x:v>
      </x:c>
      <x:c r="B333" s="69" t="str">
        <x:v>tiff/trace_net_human_review_promotion_gate_v1.py</x:v>
      </x:c>
      <x:c r="C333" s="69" t="str">
        <x:v>trace_net_human_review_promotion_gate_v1.py</x:v>
      </x:c>
      <x:c r="D333" s="69" t="str">
        <x:v>benchmarks</x:v>
      </x:c>
      <x:c r="E333" s="69" t="str">
        <x:v>embeddings, ingestion, tables, graph</x:v>
      </x:c>
      <x:c r="F333" s="69" t="str">
        <x:v>validation</x:v>
      </x:c>
      <x:c r="G333" s="69" t="str">
        <x:v>src/trace_net/validation/</x:v>
      </x:c>
      <x:c r="H333" s="69" t="str">
        <x:v>src/trace_net/validation/trace_net_human_review_promotion_gate_v1.py</x:v>
      </x:c>
      <x:c r="I333" s="69" t="str">
        <x:v>runtime validation/gating module</x:v>
      </x:c>
      <x:c r="J333" s="69" t="str">
        <x:v>MOVE_WITH_IMPORT_UPDATES_AND_COMPATIBILITY_WRAPPER</x:v>
      </x:c>
      <x:c r="K333" s="70" t="b">
        <x:v>1</x:v>
      </x:c>
      <x:c r="L333" s="70" t="b">
        <x:v>0</x:v>
      </x:c>
      <x:c r="M333" s="70" t="b">
        <x:v>1</x:v>
      </x:c>
      <x:c r="N333" s="69" t="n">
        <x:v>4</x:v>
      </x:c>
      <x:c r="O333" s="69" t="n">
        <x:v>0</x:v>
      </x:c>
      <x:c r="P333" s="69" t="str">
        <x:v>scripts/build_trace_net_human_review_promotion_gate_v1.py; scripts/check_trace_net_human_review_promotion_gate_v1_quality.py; tests/unit/test_trace_net_human_review_promotion_gate_v1.py; tests/unit/test_trace_net_human_review_promotion_gate_v1_quality.py</x:v>
      </x:c>
      <x:c r="Q333" s="71" t="n">
        <x:v>0.96</x:v>
      </x:c>
      <x:c r="R333" s="69" t="str">
        <x:v>validation/quality naming</x:v>
      </x:c>
      <x:c r="S333" s="69" t="str">
        <x:v>Implements a runtime gate, critic, hardener, or evidence sufficiency check.</x:v>
      </x:c>
      <x:c r="T333" s="69" t="str">
        <x:v>Preserve gating semantics and old import path until focused tests pass.</x:v>
      </x:c>
      <x:c r="U333" s="69" t="str"/>
      <x:c r="V333" s="69" t="str"/>
      <x:c r="W333" s="69" t="str"/>
      <x:c r="X333" s="72" t="n">
        <x:v>40575</x:v>
      </x:c>
      <x:c r="Y333" s="70" t="b">
        <x:v>1</x:v>
      </x:c>
      <x:c r="Z333" s="69" t="str">
        <x:v>Compatibility required</x:v>
      </x:c>
      <x:c r="AA333" s="69" t="str">
        <x:v>https://github.com/jwild2027/heico-ai-internship-summer-2026/blob/srv/tiff/trace_net_human_review_promotion_gate_v1.py</x:v>
      </x:c>
      <x:c r="AB333" s="69" t="str">
        <x:v>shared &lt;= string:schema; ingestion &lt;= path:tiff; visual &lt;= string:callout; tables &lt;= symbol:table, string:table, string:table_cell; graph &lt;= symbol:graph, string:community, string:graph; embeddings &lt;= symbol:embedding, symbol:embedding_candidate, string:embedding, string:embedding_candidate, string:qdrant</x:v>
      </x:c>
    </x:row>
    <x:row r="334">
      <x:c r="A334" s="68" t="n">
        <x:v>333</x:v>
      </x:c>
      <x:c r="B334" s="69" t="str">
        <x:v>tiff/trace_net_human_review_queue_table_geometry_integration_v1.py</x:v>
      </x:c>
      <x:c r="C334" s="69" t="str">
        <x:v>trace_net_human_review_queue_table_geometry_integration_v1.py</x:v>
      </x:c>
      <x:c r="D334" s="69" t="str">
        <x:v>tables</x:v>
      </x:c>
      <x:c r="E334" s="69" t="str">
        <x:v>ingestion</x:v>
      </x:c>
      <x:c r="F334" s="69" t="str">
        <x:v>tables</x:v>
      </x:c>
      <x:c r="G334" s="69" t="str">
        <x:v>src/trace_net/tables/</x:v>
      </x:c>
      <x:c r="H334" s="69" t="str">
        <x:v>src/trace_net/tables/trace_net_human_review_queue_table_geometry_integration_v1.py</x:v>
      </x:c>
      <x:c r="I334" s="69" t="str">
        <x:v>active library module</x:v>
      </x:c>
      <x:c r="J334" s="69" t="str">
        <x:v>MOVE_WITH_IMPORT_UPDATES_AND_COMPATIBILITY_WRAPPER</x:v>
      </x:c>
      <x:c r="K334" s="70" t="b">
        <x:v>1</x:v>
      </x:c>
      <x:c r="L334" s="70" t="b">
        <x:v>0</x:v>
      </x:c>
      <x:c r="M334" s="70" t="b">
        <x:v>1</x:v>
      </x:c>
      <x:c r="N334" s="69" t="n">
        <x:v>4</x:v>
      </x:c>
      <x:c r="O334" s="69" t="n">
        <x:v>0</x:v>
      </x:c>
      <x:c r="P334" s="69" t="str">
        <x:v>scripts/build_trace_net_human_review_queue_table_geometry_integration_v1.py; tests/unit/test_trace_net_human_review_queue_table_geometry_integration_v1.py; tests/unit/test_trace_net_human_review_queue_table_geometry_integration_v1_quality.py; tiff/trace_net_human_review_queue_table_geometry_integration_v1_quality.py</x:v>
      </x:c>
      <x:c r="Q334" s="71" t="n">
        <x:v>0.95</x:v>
      </x:c>
      <x:c r="R334" s="69" t="str">
        <x:v>table pipeline naming</x:v>
      </x:c>
      <x:c r="S334" s="69" t="str">
        <x:v>Primary implementation belongs to the tables stage based on filename, imports, and inventory evidence.</x:v>
      </x:c>
      <x:c r="T334" s="69" t="str">
        <x:v>Update imports and retain the old tiff module as a wrapper when callers exist.</x:v>
      </x:c>
      <x:c r="U334" s="69" t="str"/>
      <x:c r="V334" s="69" t="str"/>
      <x:c r="W334" s="69" t="str"/>
      <x:c r="X334" s="72" t="n">
        <x:v>23987</x:v>
      </x:c>
      <x:c r="Y334" s="70" t="b">
        <x:v>1</x:v>
      </x:c>
      <x:c r="Z334" s="69" t="str">
        <x:v>Compatibility required</x:v>
      </x:c>
      <x:c r="AA334" s="69" t="str">
        <x:v>https://github.com/jwild2027/heico-ai-internship-summer-2026/blob/srv/tiff/trace_net_human_review_queue_table_geometry_integration_v1.py</x:v>
      </x:c>
      <x:c r="AB334" s="69" t="str">
        <x:v>shared &lt;= string:contract, string:schema; ingestion &lt;= path:tiff, symbol:convert; tables &lt;= path:table, symbol:table, string:table; graph &lt;= string:community; embeddings &lt;= string:qdrant; retrieval &lt;= string:opensearch, string:retriev</x:v>
      </x:c>
    </x:row>
    <x:row r="335">
      <x:c r="A335" s="68" t="n">
        <x:v>334</x:v>
      </x:c>
      <x:c r="B335" s="69" t="str">
        <x:v>tiff/trace_net_human_review_queue_table_geometry_integration_v1_quality.py</x:v>
      </x:c>
      <x:c r="C335" s="69" t="str">
        <x:v>trace_net_human_review_queue_table_geometry_integration_v1_quality.py</x:v>
      </x:c>
      <x:c r="D335" s="69" t="str">
        <x:v>tables</x:v>
      </x:c>
      <x:c r="E335" s="69" t="str">
        <x:v>ingestion</x:v>
      </x:c>
      <x:c r="F335" s="69" t="str">
        <x:v>tables</x:v>
      </x:c>
      <x:c r="G335" s="69" t="str">
        <x:v>src/trace_net/tables/quality/</x:v>
      </x:c>
      <x:c r="H335" s="69" t="str">
        <x:v>src/trace_net/tables/quality/trace_net_human_review_queue_table_geometry_integration_v1_quality.py</x:v>
      </x:c>
      <x:c r="I335" s="69" t="str">
        <x:v>quality validator module</x:v>
      </x:c>
      <x:c r="J335" s="69" t="str">
        <x:v>MOVE_WITH_IMPORT_UPDATES_AND_COMPATIBILITY_WRAPPER</x:v>
      </x:c>
      <x:c r="K335" s="70" t="b">
        <x:v>1</x:v>
      </x:c>
      <x:c r="L335" s="70" t="b">
        <x:v>0</x:v>
      </x:c>
      <x:c r="M335" s="70" t="b">
        <x:v>1</x:v>
      </x:c>
      <x:c r="N335" s="69" t="n">
        <x:v>1</x:v>
      </x:c>
      <x:c r="O335" s="69" t="n">
        <x:v>0</x:v>
      </x:c>
      <x:c r="P335" s="69" t="str">
        <x:v>scripts/check_trace_net_human_review_queue_table_geometry_integration_v1_quality.py</x:v>
      </x:c>
      <x:c r="Q335" s="71" t="n">
        <x:v>0.97</x:v>
      </x:c>
      <x:c r="R335" s="69" t="str">
        <x:v>table pipeline naming</x:v>
      </x:c>
      <x:c r="S335" s="69" t="str">
        <x:v>Quality logic is reusable source code for the tables stage.</x:v>
      </x:c>
      <x:c r="T335" s="69" t="str">
        <x:v>Update test and script imports; retain the old tiff import as a thin wrapper until PASS.</x:v>
      </x:c>
      <x:c r="U335" s="69" t="str"/>
      <x:c r="V335" s="69" t="str"/>
      <x:c r="W335" s="69" t="str"/>
      <x:c r="X335" s="72" t="n">
        <x:v>3070</x:v>
      </x:c>
      <x:c r="Y335" s="70" t="b">
        <x:v>1</x:v>
      </x:c>
      <x:c r="Z335" s="69" t="str">
        <x:v>Compatibility required</x:v>
      </x:c>
      <x:c r="AA335" s="69" t="str">
        <x:v>https://github.com/jwild2027/heico-ai-internship-summer-2026/blob/srv/tiff/trace_net_human_review_queue_table_geometry_integration_v1_quality.py</x:v>
      </x:c>
      <x:c r="AB335" s="69" t="str">
        <x:v>ingestion &lt;= path:tiff, import:tiff; tables &lt;= path:table, import:table, string:table; embeddings &lt;= string:qdrant; retrieval &lt;= string:opensearch; serving &lt;= string:bridge; referenced_by_count=1</x:v>
      </x:c>
    </x:row>
    <x:row r="336">
      <x:c r="A336" s="68" t="n">
        <x:v>335</x:v>
      </x:c>
      <x:c r="B336" s="69" t="str">
        <x:v>tiff/trace_net_human_review_queue_v1.py</x:v>
      </x:c>
      <x:c r="C336" s="69" t="str">
        <x:v>trace_net_human_review_queue_v1.py</x:v>
      </x:c>
      <x:c r="D336" s="69" t="str">
        <x:v>visual</x:v>
      </x:c>
      <x:c r="E336" s="69" t="str">
        <x:v>ingestion, tables, graph, ocr</x:v>
      </x:c>
      <x:c r="F336" s="69" t="str">
        <x:v>visual</x:v>
      </x:c>
      <x:c r="G336" s="69" t="str">
        <x:v>src/trace_net/visual/</x:v>
      </x:c>
      <x:c r="H336" s="69" t="str">
        <x:v>src/trace_net/visual/trace_net_human_review_queue_v1.py</x:v>
      </x:c>
      <x:c r="I336" s="69" t="str">
        <x:v>active library module</x:v>
      </x:c>
      <x:c r="J336" s="69" t="str">
        <x:v>MOVE_WITH_IMPORT_UPDATES_AND_COMPATIBILITY_WRAPPER</x:v>
      </x:c>
      <x:c r="K336" s="70" t="b">
        <x:v>1</x:v>
      </x:c>
      <x:c r="L336" s="70" t="b">
        <x:v>0</x:v>
      </x:c>
      <x:c r="M336" s="70" t="b">
        <x:v>1</x:v>
      </x:c>
      <x:c r="N336" s="69" t="n">
        <x:v>4</x:v>
      </x:c>
      <x:c r="O336" s="69" t="n">
        <x:v>0</x:v>
      </x:c>
      <x:c r="P336" s="69" t="str">
        <x:v>scripts/build_trace_net_human_review_queue_v1.py; scripts/check_trace_net_human_review_queue_v1_quality.py; tests/unit/test_trace_net_human_review_queue_v1.py; tests/unit/test_trace_net_human_review_queue_v1_quality.py</x:v>
      </x:c>
      <x:c r="Q336" s="71" t="n">
        <x:v>0.95</x:v>
      </x:c>
      <x:c r="R336" s="69" t="str">
        <x:v>inventory stage: visual</x:v>
      </x:c>
      <x:c r="S336" s="69" t="str">
        <x:v>Primary implementation belongs to the visual stage based on filename, imports, and inventory evidence.</x:v>
      </x:c>
      <x:c r="T336" s="69" t="str">
        <x:v>Update imports and retain the old tiff module as a wrapper when callers exist.</x:v>
      </x:c>
      <x:c r="U336" s="69" t="str"/>
      <x:c r="V336" s="69" t="str"/>
      <x:c r="W336" s="69" t="str"/>
      <x:c r="X336" s="72" t="n">
        <x:v>43872</x:v>
      </x:c>
      <x:c r="Y336" s="70" t="b">
        <x:v>1</x:v>
      </x:c>
      <x:c r="Z336" s="69" t="str">
        <x:v>Compatibility required</x:v>
      </x:c>
      <x:c r="AA336" s="69" t="str">
        <x:v>https://github.com/jwild2027/heico-ai-internship-summer-2026/blob/srv/tiff/trace_net_human_review_queue_v1.py</x:v>
      </x:c>
      <x:c r="AB336" s="69" t="str">
        <x:v>shared &lt;= string:schema; ingestion &lt;= path:tiff, string:convert; ocr &lt;= symbol:fishnet, string:fishnet; visual &lt;= symbol:callout, symbol:visual, string:callout, string:visual; tables &lt;= symbol:table, string:table, string:table_cell; graph &lt;= symbol:leiden, string:community, string:leiden</x:v>
      </x:c>
    </x:row>
    <x:row r="337">
      <x:c r="A337" s="68" t="n">
        <x:v>336</x:v>
      </x:c>
      <x:c r="B337" s="69" t="str">
        <x:v>tiff/trace_net_human_review_triage_v1.py</x:v>
      </x:c>
      <x:c r="C337" s="69" t="str">
        <x:v>trace_net_human_review_triage_v1.py</x:v>
      </x:c>
      <x:c r="D337" s="69" t="str">
        <x:v>ingestion</x:v>
      </x:c>
      <x:c r="E337" s="69" t="str">
        <x:v>tables</x:v>
      </x:c>
      <x:c r="F337" s="69" t="str">
        <x:v>ingestion</x:v>
      </x:c>
      <x:c r="G337" s="69" t="str">
        <x:v>src/trace_net/ingestion/</x:v>
      </x:c>
      <x:c r="H337" s="69" t="str">
        <x:v>src/trace_net/ingestion/trace_net_human_review_triage_v1.py</x:v>
      </x:c>
      <x:c r="I337" s="69" t="str">
        <x:v>active library module</x:v>
      </x:c>
      <x:c r="J337" s="69" t="str">
        <x:v>MOVE_WITH_IMPORT_UPDATES_AND_COMPATIBILITY_WRAPPER</x:v>
      </x:c>
      <x:c r="K337" s="70" t="b">
        <x:v>1</x:v>
      </x:c>
      <x:c r="L337" s="70" t="b">
        <x:v>0</x:v>
      </x:c>
      <x:c r="M337" s="70" t="b">
        <x:v>1</x:v>
      </x:c>
      <x:c r="N337" s="69" t="n">
        <x:v>4</x:v>
      </x:c>
      <x:c r="O337" s="69" t="n">
        <x:v>0</x:v>
      </x:c>
      <x:c r="P337" s="69" t="str">
        <x:v>scripts/build_trace_net_human_review_triage_v1.py; scripts/check_trace_net_human_review_triage_v1_quality.py; tests/unit/test_trace_net_human_review_triage_v1.py; tests/unit/test_trace_net_human_review_triage_v1_quality.py</x:v>
      </x:c>
      <x:c r="Q337" s="71" t="n">
        <x:v>0.95</x:v>
      </x:c>
      <x:c r="R337" s="69" t="str">
        <x:v>inventory stage: ingestion</x:v>
      </x:c>
      <x:c r="S337" s="69" t="str">
        <x:v>Primary implementation belongs to the ingestion stage based on filename, imports, and inventory evidence.</x:v>
      </x:c>
      <x:c r="T337" s="69" t="str">
        <x:v>Update imports and retain the old tiff module as a wrapper when callers exist.</x:v>
      </x:c>
      <x:c r="U337" s="69" t="str"/>
      <x:c r="V337" s="69" t="str"/>
      <x:c r="W337" s="69" t="str"/>
      <x:c r="X337" s="72" t="n">
        <x:v>25460</x:v>
      </x:c>
      <x:c r="Y337" s="70" t="b">
        <x:v>1</x:v>
      </x:c>
      <x:c r="Z337" s="69" t="str">
        <x:v>Compatibility required</x:v>
      </x:c>
      <x:c r="AA337" s="69" t="str">
        <x:v>https://github.com/jwild2027/heico-ai-internship-summer-2026/blob/srv/tiff/trace_net_human_review_triage_v1.py</x:v>
      </x:c>
      <x:c r="AB337" s="69" t="str">
        <x:v>shared &lt;= string:contract, string:schema; ingestion &lt;= path:tiff; tables &lt;= symbol:table, string:table; graph &lt;= string:community; retrieval &lt;= string:retriev; llm_writing &lt;= string:final_answer</x:v>
      </x:c>
    </x:row>
    <x:row r="338">
      <x:c r="A338" s="68" t="n">
        <x:v>337</x:v>
      </x:c>
      <x:c r="B338" s="69" t="str">
        <x:v>tiff/trace_net_human_review_workbench_preview_wiring_v1.py</x:v>
      </x:c>
      <x:c r="C338" s="69" t="str">
        <x:v>trace_net_human_review_workbench_preview_wiring_v1.py</x:v>
      </x:c>
      <x:c r="D338" s="69" t="str">
        <x:v>ingestion</x:v>
      </x:c>
      <x:c r="E338" s="69" t="str">
        <x:v>shared</x:v>
      </x:c>
      <x:c r="F338" s="69" t="str">
        <x:v>ingestion</x:v>
      </x:c>
      <x:c r="G338" s="69" t="str">
        <x:v>src/trace_net/ingestion/</x:v>
      </x:c>
      <x:c r="H338" s="69" t="str">
        <x:v>src/trace_net/ingestion/trace_net_human_review_workbench_preview_wiring_v1.py</x:v>
      </x:c>
      <x:c r="I338" s="69" t="str">
        <x:v>active library module</x:v>
      </x:c>
      <x:c r="J338" s="69" t="str">
        <x:v>MOVE_WITH_IMPORT_UPDATES_AND_COMPATIBILITY_WRAPPER</x:v>
      </x:c>
      <x:c r="K338" s="70" t="b">
        <x:v>1</x:v>
      </x:c>
      <x:c r="L338" s="70" t="b">
        <x:v>0</x:v>
      </x:c>
      <x:c r="M338" s="70" t="b">
        <x:v>1</x:v>
      </x:c>
      <x:c r="N338" s="69" t="n">
        <x:v>4</x:v>
      </x:c>
      <x:c r="O338" s="69" t="n">
        <x:v>0</x:v>
      </x:c>
      <x:c r="P338" s="69" t="str">
        <x:v>scripts/build_trace_net_human_review_workbench_preview_wiring_v1.py; scripts/check_trace_net_human_review_workbench_preview_wiring_v1_quality.py; tests/unit/test_trace_net_human_review_workbench_preview_wiring_v1.py; tests/unit/test_trace_net_human_review_workbench_preview_wiring_v1_quality.py</x:v>
      </x:c>
      <x:c r="Q338" s="71" t="n">
        <x:v>0.95</x:v>
      </x:c>
      <x:c r="R338" s="69" t="str">
        <x:v>inventory stage: ingestion</x:v>
      </x:c>
      <x:c r="S338" s="69" t="str">
        <x:v>Primary implementation belongs to the ingestion stage based on filename, imports, and inventory evidence.</x:v>
      </x:c>
      <x:c r="T338" s="69" t="str">
        <x:v>Update imports and retain the old tiff module as a wrapper when callers exist.</x:v>
      </x:c>
      <x:c r="U338" s="69" t="str"/>
      <x:c r="V338" s="69" t="str"/>
      <x:c r="W338" s="69" t="str"/>
      <x:c r="X338" s="72" t="n">
        <x:v>30567</x:v>
      </x:c>
      <x:c r="Y338" s="70" t="b">
        <x:v>1</x:v>
      </x:c>
      <x:c r="Z338" s="69" t="str">
        <x:v>Compatibility required</x:v>
      </x:c>
      <x:c r="AA338" s="69" t="str">
        <x:v>https://github.com/jwild2027/heico-ai-internship-summer-2026/blob/srv/tiff/trace_net_human_review_workbench_preview_wiring_v1.py</x:v>
      </x:c>
      <x:c r="AB338" s="69" t="str">
        <x:v>shared &lt;= string:contract, string:dublin_core, string:identifier, string:schema; ingestion &lt;= path:tiff, symbol:document_source, string:tiff; tables &lt;= symbol:table; embeddings &lt;= string:qdrant; retrieval &lt;= string:opensearch; context &lt;= string:source_trace</x:v>
      </x:c>
    </x:row>
    <x:row r="339">
      <x:c r="A339" s="68" t="n">
        <x:v>338</x:v>
      </x:c>
      <x:c r="B339" s="69" t="str">
        <x:v>tiff/trace_net_human_review_workbench_v1.py</x:v>
      </x:c>
      <x:c r="C339" s="69" t="str">
        <x:v>trace_net_human_review_workbench_v1.py</x:v>
      </x:c>
      <x:c r="D339" s="69" t="str">
        <x:v>ingestion</x:v>
      </x:c>
      <x:c r="E339" s="69" t="str">
        <x:v>visual, tables, shared</x:v>
      </x:c>
      <x:c r="F339" s="69" t="str">
        <x:v>ingestion</x:v>
      </x:c>
      <x:c r="G339" s="69" t="str">
        <x:v>src/trace_net/ingestion/</x:v>
      </x:c>
      <x:c r="H339" s="69" t="str">
        <x:v>src/trace_net/ingestion/trace_net_human_review_workbench_v1.py</x:v>
      </x:c>
      <x:c r="I339" s="69" t="str">
        <x:v>active library module</x:v>
      </x:c>
      <x:c r="J339" s="69" t="str">
        <x:v>MOVE_WITH_IMPORT_UPDATES_AND_COMPATIBILITY_WRAPPER</x:v>
      </x:c>
      <x:c r="K339" s="70" t="b">
        <x:v>1</x:v>
      </x:c>
      <x:c r="L339" s="70" t="b">
        <x:v>0</x:v>
      </x:c>
      <x:c r="M339" s="70" t="b">
        <x:v>1</x:v>
      </x:c>
      <x:c r="N339" s="69" t="n">
        <x:v>4</x:v>
      </x:c>
      <x:c r="O339" s="69" t="n">
        <x:v>0</x:v>
      </x:c>
      <x:c r="P339" s="69" t="str">
        <x:v>scripts/build_trace_net_human_review_workbench_v1.py; scripts/check_trace_net_human_review_workbench_v1_quality.py; tests/unit/test_trace_net_human_review_workbench_v1.py; tests/unit/test_trace_net_human_review_workbench_v1_quality.py</x:v>
      </x:c>
      <x:c r="Q339" s="71" t="n">
        <x:v>0.95</x:v>
      </x:c>
      <x:c r="R339" s="69" t="str">
        <x:v>inventory stage: ingestion</x:v>
      </x:c>
      <x:c r="S339" s="69" t="str">
        <x:v>Primary implementation belongs to the ingestion stage based on filename, imports, and inventory evidence.</x:v>
      </x:c>
      <x:c r="T339" s="69" t="str">
        <x:v>Update imports and retain the old tiff module as a wrapper when callers exist.</x:v>
      </x:c>
      <x:c r="U339" s="69" t="str"/>
      <x:c r="V339" s="69" t="str"/>
      <x:c r="W339" s="69" t="str"/>
      <x:c r="X339" s="72" t="n">
        <x:v>45697</x:v>
      </x:c>
      <x:c r="Y339" s="70" t="b">
        <x:v>1</x:v>
      </x:c>
      <x:c r="Z339" s="69" t="str">
        <x:v>Compatibility required</x:v>
      </x:c>
      <x:c r="AA339" s="69" t="str">
        <x:v>https://github.com/jwild2027/heico-ai-internship-summer-2026/blob/srv/tiff/trace_net_human_review_workbench_v1.py</x:v>
      </x:c>
      <x:c r="AB339" s="69" t="str">
        <x:v>shared &lt;= string:contract, string:identifier, string:schema, string:trust_tier; ingestion &lt;= path:tiff, string:tiff; visual &lt;= symbol:visual, string:callout, string:visual; tables &lt;= symbol:table, string:table, string:table_row; graph &lt;= string:community, string:graph, string:leiden; retrieval &lt;= string:retriev</x:v>
      </x:c>
    </x:row>
    <x:row r="340">
      <x:c r="A340" s="68" t="n">
        <x:v>339</x:v>
      </x:c>
      <x:c r="B340" s="69" t="str">
        <x:v>tiff/trace_net_hybrid_retrieval_sim_v1.py</x:v>
      </x:c>
      <x:c r="C340" s="69" t="str">
        <x:v>trace_net_hybrid_retrieval_sim_v1.py</x:v>
      </x:c>
      <x:c r="D340" s="69" t="str">
        <x:v>benchmarks</x:v>
      </x:c>
      <x:c r="E340" s="69" t="str">
        <x:v>retrieval, ingestion, embeddings</x:v>
      </x:c>
      <x:c r="F340" s="69" t="str">
        <x:v>retrieval</x:v>
      </x:c>
      <x:c r="G340" s="69" t="str">
        <x:v>src/trace_net/retrieval/</x:v>
      </x:c>
      <x:c r="H340" s="69" t="str">
        <x:v>src/trace_net/retrieval/trace_net_hybrid_retrieval_sim_v1.py</x:v>
      </x:c>
      <x:c r="I340" s="69" t="str">
        <x:v>active library module</x:v>
      </x:c>
      <x:c r="J340" s="69" t="str">
        <x:v>MOVE_WITH_IMPORT_UPDATES_AND_COMPATIBILITY_WRAPPER</x:v>
      </x:c>
      <x:c r="K340" s="70" t="b">
        <x:v>1</x:v>
      </x:c>
      <x:c r="L340" s="70" t="b">
        <x:v>0</x:v>
      </x:c>
      <x:c r="M340" s="70" t="b">
        <x:v>1</x:v>
      </x:c>
      <x:c r="N340" s="69" t="n">
        <x:v>5</x:v>
      </x:c>
      <x:c r="O340" s="69" t="n">
        <x:v>0</x:v>
      </x:c>
      <x:c r="P340" s="69" t="str">
        <x:v>scripts/check_trace_net_hybrid_retrieval_sim_v1_quality.py; scripts/run_trace_net_hybrid_retrieval_sim_v1.py; tests/unit/test_trace_net_hybrid_retrieval_sim_v1.py; tests/unit/test_trace_net_hybrid_retrieval_sim_v1_quality.py; tiff/trace_net_ask_hybrid_flag_v1.py</x:v>
      </x:c>
      <x:c r="Q340" s="71" t="n">
        <x:v>0.95</x:v>
      </x:c>
      <x:c r="R340" s="69" t="str">
        <x:v>retrieval/search naming</x:v>
      </x:c>
      <x:c r="S340" s="69" t="str">
        <x:v>Primary implementation belongs to the retrieval stage based on filename, imports, and inventory evidence.</x:v>
      </x:c>
      <x:c r="T340" s="69" t="str">
        <x:v>Update imports and retain the old tiff module as a wrapper when callers exist.</x:v>
      </x:c>
      <x:c r="U340" s="69" t="str"/>
      <x:c r="V340" s="69" t="str"/>
      <x:c r="W340" s="69" t="str"/>
      <x:c r="X340" s="72" t="n">
        <x:v>67003</x:v>
      </x:c>
      <x:c r="Y340" s="70" t="b">
        <x:v>1</x:v>
      </x:c>
      <x:c r="Z340" s="69" t="str">
        <x:v>Compatibility required</x:v>
      </x:c>
      <x:c r="AA340" s="69" t="str">
        <x:v>https://github.com/jwild2027/heico-ai-internship-summer-2026/blob/srv/tiff/trace_net_hybrid_retrieval_sim_v1.py</x:v>
      </x:c>
      <x:c r="AB340" s="69" t="str">
        <x:v>shared &lt;= string:helper, string:schema, string:source_id, string:trust_tier; ingestion &lt;= path:tiff, import:tiff, string:tiff; ocr &lt;= string:ocr; visual &lt;= string:vision, string:visual; tables &lt;= symbol:table, string:table; embeddings &lt;= symbol:qdrant, import:qdrant, string:embedding, string:embedding_candidate, string:qdrant</x:v>
      </x:c>
    </x:row>
    <x:row r="341">
      <x:c r="A341" s="68" t="n">
        <x:v>340</x:v>
      </x:c>
      <x:c r="B341" s="69" t="str">
        <x:v>tiff/trace_net_hybrid_retrieval_v2.py</x:v>
      </x:c>
      <x:c r="C341" s="69" t="str">
        <x:v>trace_net_hybrid_retrieval_v2.py</x:v>
      </x:c>
      <x:c r="D341" s="69" t="str">
        <x:v>retrieval</x:v>
      </x:c>
      <x:c r="E341" s="69" t="str">
        <x:v>benchmarks</x:v>
      </x:c>
      <x:c r="F341" s="69" t="str">
        <x:v>retrieval</x:v>
      </x:c>
      <x:c r="G341" s="69" t="str">
        <x:v>src/trace_net/retrieval/</x:v>
      </x:c>
      <x:c r="H341" s="69" t="str">
        <x:v>src/trace_net/retrieval/trace_net_hybrid_retrieval_v2.py</x:v>
      </x:c>
      <x:c r="I341" s="69" t="str">
        <x:v>active library module</x:v>
      </x:c>
      <x:c r="J341" s="69" t="str">
        <x:v>MOVE_WITH_IMPORT_UPDATES_AND_COMPATIBILITY_WRAPPER</x:v>
      </x:c>
      <x:c r="K341" s="70" t="b">
        <x:v>1</x:v>
      </x:c>
      <x:c r="L341" s="70" t="b">
        <x:v>0</x:v>
      </x:c>
      <x:c r="M341" s="70" t="b">
        <x:v>1</x:v>
      </x:c>
      <x:c r="N341" s="69" t="n">
        <x:v>4</x:v>
      </x:c>
      <x:c r="O341" s="69" t="n">
        <x:v>0</x:v>
      </x:c>
      <x:c r="P341" s="69" t="str">
        <x:v>scripts/build_trace_net_hybrid_retrieval_v2.py; scripts/check_trace_net_hybrid_retrieval_v2_quality.py; tests/unit/test_trace_net_hybrid_retrieval_v2.py; tests/unit/test_trace_net_hybrid_retrieval_v2_quality.py</x:v>
      </x:c>
      <x:c r="Q341" s="71" t="n">
        <x:v>0.95</x:v>
      </x:c>
      <x:c r="R341" s="69" t="str">
        <x:v>retrieval/search naming</x:v>
      </x:c>
      <x:c r="S341" s="69" t="str">
        <x:v>Primary implementation belongs to the retrieval stage based on filename, imports, and inventory evidence.</x:v>
      </x:c>
      <x:c r="T341" s="69" t="str">
        <x:v>Update imports and retain the old tiff module as a wrapper when callers exist.</x:v>
      </x:c>
      <x:c r="U341" s="69" t="str"/>
      <x:c r="V341" s="69" t="str"/>
      <x:c r="W341" s="69" t="str">
        <x:v>tiff/trace_net_hybrid_retrieval_v3.py</x:v>
      </x:c>
      <x:c r="X341" s="72" t="n">
        <x:v>48044</x:v>
      </x:c>
      <x:c r="Y341" s="70" t="b">
        <x:v>1</x:v>
      </x:c>
      <x:c r="Z341" s="69" t="str">
        <x:v>Compatibility required</x:v>
      </x:c>
      <x:c r="AA341" s="69" t="str">
        <x:v>https://github.com/jwild2027/heico-ai-internship-summer-2026/blob/srv/tiff/trace_net_hybrid_retrieval_v2.py</x:v>
      </x:c>
      <x:c r="AB341" s="69" t="str">
        <x:v>shared &lt;= string:contract, string:helper, string:schema; ingestion &lt;= path:tiff; ocr &lt;= string:ocr; visual &lt;= string:vision, string:visual; tables &lt;= symbol:table, string:table, string:table_cell, string:table_row; graph &lt;= symbol:community, string:community, string:graph, string:leiden</x:v>
      </x:c>
    </x:row>
    <x:row r="342">
      <x:c r="A342" s="68" t="n">
        <x:v>341</x:v>
      </x:c>
      <x:c r="B342" s="69" t="str">
        <x:v>tiff/trace_net_hybrid_retrieval_v3.py</x:v>
      </x:c>
      <x:c r="C342" s="69" t="str">
        <x:v>trace_net_hybrid_retrieval_v3.py</x:v>
      </x:c>
      <x:c r="D342" s="69" t="str">
        <x:v>retrieval</x:v>
      </x:c>
      <x:c r="E342" s="69" t="str">
        <x:v>benchmarks, graph</x:v>
      </x:c>
      <x:c r="F342" s="69" t="str">
        <x:v>retrieval</x:v>
      </x:c>
      <x:c r="G342" s="69" t="str">
        <x:v>src/trace_net/retrieval/</x:v>
      </x:c>
      <x:c r="H342" s="69" t="str">
        <x:v>src/trace_net/retrieval/trace_net_hybrid_retrieval_v3.py</x:v>
      </x:c>
      <x:c r="I342" s="69" t="str">
        <x:v>active library module</x:v>
      </x:c>
      <x:c r="J342" s="69" t="str">
        <x:v>MOVE_WITH_IMPORT_UPDATES_AND_COMPATIBILITY_WRAPPER</x:v>
      </x:c>
      <x:c r="K342" s="70" t="b">
        <x:v>1</x:v>
      </x:c>
      <x:c r="L342" s="70" t="b">
        <x:v>0</x:v>
      </x:c>
      <x:c r="M342" s="70" t="b">
        <x:v>1</x:v>
      </x:c>
      <x:c r="N342" s="69" t="n">
        <x:v>5</x:v>
      </x:c>
      <x:c r="O342" s="69" t="n">
        <x:v>0</x:v>
      </x:c>
      <x:c r="P342" s="69" t="str">
        <x:v>scripts/build_trace_net_hybrid_retrieval_v3.py; tests/unit/test_trace_net_hybrid_retrieval_v3.py; tests/unit/test_trace_net_hybrid_retrieval_v3_live_opensearch.py; tests/unit/test_trace_net_hybrid_retrieval_v3_quality.py; tiff/trace_net_hybrid_retrieval_v3_quality.py</x:v>
      </x:c>
      <x:c r="Q342" s="71" t="n">
        <x:v>0.95</x:v>
      </x:c>
      <x:c r="R342" s="69" t="str">
        <x:v>retrieval/search naming</x:v>
      </x:c>
      <x:c r="S342" s="69" t="str">
        <x:v>Primary implementation belongs to the retrieval stage based on filename, imports, and inventory evidence.</x:v>
      </x:c>
      <x:c r="T342" s="69" t="str">
        <x:v>Update imports and retain the old tiff module as a wrapper when callers exist.</x:v>
      </x:c>
      <x:c r="U342" s="69" t="str"/>
      <x:c r="V342" s="69" t="str"/>
      <x:c r="W342" s="69" t="str"/>
      <x:c r="X342" s="72" t="n">
        <x:v>54578</x:v>
      </x:c>
      <x:c r="Y342" s="70" t="b">
        <x:v>1</x:v>
      </x:c>
      <x:c r="Z342" s="69" t="str">
        <x:v>Compatibility required</x:v>
      </x:c>
      <x:c r="AA342" s="69" t="str">
        <x:v>https://github.com/jwild2027/heico-ai-internship-summer-2026/blob/srv/tiff/trace_net_hybrid_retrieval_v3.py</x:v>
      </x:c>
      <x:c r="AB342" s="69" t="str">
        <x:v>shared &lt;= string:contract; ingestion &lt;= path:tiff, string:tiff; tables &lt;= symbol:table; graph &lt;= symbol:community, symbol:graph, string:community, string:graph; embeddings &lt;= string:bge_m3, string:qdrant; retrieval &lt;= path:retriev, symbol:opensearch, symbol:retriev, string:opensearch, string:retriev, string:semantic_search</x:v>
      </x:c>
    </x:row>
    <x:row r="343">
      <x:c r="A343" s="68" t="n">
        <x:v>342</x:v>
      </x:c>
      <x:c r="B343" s="69" t="str">
        <x:v>tiff/trace_net_hybrid_retrieval_v3_quality.py</x:v>
      </x:c>
      <x:c r="C343" s="69" t="str">
        <x:v>trace_net_hybrid_retrieval_v3_quality.py</x:v>
      </x:c>
      <x:c r="D343" s="69" t="str">
        <x:v>benchmarks</x:v>
      </x:c>
      <x:c r="E343" s="69" t="str">
        <x:v>retrieval, ingestion</x:v>
      </x:c>
      <x:c r="F343" s="69" t="str">
        <x:v>retrieval</x:v>
      </x:c>
      <x:c r="G343" s="69" t="str">
        <x:v>src/trace_net/retrieval/quality/</x:v>
      </x:c>
      <x:c r="H343" s="69" t="str">
        <x:v>src/trace_net/retrieval/quality/trace_net_hybrid_retrieval_v3_quality.py</x:v>
      </x:c>
      <x:c r="I343" s="69" t="str">
        <x:v>quality validator module</x:v>
      </x:c>
      <x:c r="J343" s="69" t="str">
        <x:v>MOVE_WITH_IMPORT_UPDATES_AND_COMPATIBILITY_WRAPPER</x:v>
      </x:c>
      <x:c r="K343" s="70" t="b">
        <x:v>1</x:v>
      </x:c>
      <x:c r="L343" s="70" t="b">
        <x:v>0</x:v>
      </x:c>
      <x:c r="M343" s="70" t="b">
        <x:v>1</x:v>
      </x:c>
      <x:c r="N343" s="69" t="n">
        <x:v>3</x:v>
      </x:c>
      <x:c r="O343" s="69" t="n">
        <x:v>0</x:v>
      </x:c>
      <x:c r="P343" s="69" t="str">
        <x:v>scripts/check_trace_net_hybrid_retrieval_v3_quality.py; tests/unit/test_trace_net_hybrid_retrieval_v3_live_opensearch.py; tests/unit/test_trace_net_hybrid_retrieval_v3_quality.py</x:v>
      </x:c>
      <x:c r="Q343" s="71" t="n">
        <x:v>0.97</x:v>
      </x:c>
      <x:c r="R343" s="69" t="str">
        <x:v>retrieval/search naming</x:v>
      </x:c>
      <x:c r="S343" s="69" t="str">
        <x:v>Quality logic is reusable source code for the retrieval stage.</x:v>
      </x:c>
      <x:c r="T343" s="69" t="str">
        <x:v>Update test and script imports; retain the old tiff import as a thin wrapper until PASS.</x:v>
      </x:c>
      <x:c r="U343" s="69" t="str"/>
      <x:c r="V343" s="69" t="str"/>
      <x:c r="W343" s="69" t="str"/>
      <x:c r="X343" s="72" t="n">
        <x:v>9961</x:v>
      </x:c>
      <x:c r="Y343" s="70" t="b">
        <x:v>1</x:v>
      </x:c>
      <x:c r="Z343" s="69" t="str">
        <x:v>Compatibility required</x:v>
      </x:c>
      <x:c r="AA343" s="69" t="str">
        <x:v>https://github.com/jwild2027/heico-ai-internship-summer-2026/blob/srv/tiff/trace_net_hybrid_retrieval_v3_quality.py</x:v>
      </x:c>
      <x:c r="AB343" s="69" t="str">
        <x:v>shared &lt;= string:schema; ingestion &lt;= path:tiff, import:tiff; graph &lt;= string:community, string:graph; embeddings &lt;= string:qdrant; retrieval &lt;= path:retriev, import:retriev, string:opensearch, string:retriev; llm_writing &lt;= string:final_answer</x:v>
      </x:c>
    </x:row>
    <x:row r="344">
      <x:c r="A344" s="68" t="n">
        <x:v>343</x:v>
      </x:c>
      <x:c r="B344" s="69" t="str">
        <x:v>tiff/trace_net_image_diagram_fast_answer_composer_v1.py</x:v>
      </x:c>
      <x:c r="C344" s="69" t="str">
        <x:v>trace_net_image_diagram_fast_answer_composer_v1.py</x:v>
      </x:c>
      <x:c r="D344" s="69" t="str">
        <x:v>visual</x:v>
      </x:c>
      <x:c r="E344" s="69" t="str">
        <x:v>ingestion</x:v>
      </x:c>
      <x:c r="F344" s="69" t="str">
        <x:v>visual</x:v>
      </x:c>
      <x:c r="G344" s="69" t="str">
        <x:v>src/trace_net/visual/</x:v>
      </x:c>
      <x:c r="H344" s="69" t="str">
        <x:v>src/trace_net/visual/trace_net_image_diagram_fast_answer_composer_v1.py</x:v>
      </x:c>
      <x:c r="I344" s="69" t="str">
        <x:v>active library module</x:v>
      </x:c>
      <x:c r="J344" s="69" t="str">
        <x:v>MOVE_WITH_IMPORT_UPDATES_AND_COMPATIBILITY_WRAPPER</x:v>
      </x:c>
      <x:c r="K344" s="70" t="b">
        <x:v>1</x:v>
      </x:c>
      <x:c r="L344" s="70" t="b">
        <x:v>0</x:v>
      </x:c>
      <x:c r="M344" s="70" t="b">
        <x:v>1</x:v>
      </x:c>
      <x:c r="N344" s="69" t="n">
        <x:v>2</x:v>
      </x:c>
      <x:c r="O344" s="69" t="n">
        <x:v>0</x:v>
      </x:c>
      <x:c r="P344" s="69" t="str">
        <x:v>scripts/build_trace_net_image_diagram_fast_answer_composer_v1.py; tests/unit/test_trace_net_image_visual_evidence_fast_answer_v1.py</x:v>
      </x:c>
      <x:c r="Q344" s="71" t="n">
        <x:v>0.95</x:v>
      </x:c>
      <x:c r="R344" s="69" t="str">
        <x:v>visual/image/vision naming</x:v>
      </x:c>
      <x:c r="S344" s="69" t="str">
        <x:v>Primary implementation belongs to the visual stage based on filename, imports, and inventory evidence.</x:v>
      </x:c>
      <x:c r="T344" s="69" t="str">
        <x:v>Update imports and retain the old tiff module as a wrapper when callers exist.</x:v>
      </x:c>
      <x:c r="U344" s="69" t="str"/>
      <x:c r="V344" s="69" t="str">
        <x:v>TRACE_NET_IMAGE_DIAGRAM_FAST_ANSWER_COMPOSER_BUILT</x:v>
      </x:c>
      <x:c r="W344" s="69" t="str"/>
      <x:c r="X344" s="72" t="n">
        <x:v>15643</x:v>
      </x:c>
      <x:c r="Y344" s="70" t="b">
        <x:v>1</x:v>
      </x:c>
      <x:c r="Z344" s="69" t="str">
        <x:v>Compatibility required</x:v>
      </x:c>
      <x:c r="AA344" s="69" t="str">
        <x:v>https://github.com/jwild2027/heico-ai-internship-summer-2026/blob/srv/tiff/trace_net_image_diagram_fast_answer_composer_v1.py</x:v>
      </x:c>
      <x:c r="AB344" s="69" t="str">
        <x:v>shared &lt;= string:contract, string:schema; ingestion &lt;= path:tiff; ocr &lt;= string:ocr; visual &lt;= path:diagram, string:callout, string:diagram, string:image_visual, string:llava, environment:diagram; tables &lt;= string:table; embeddings &lt;= string:qdrant</x:v>
      </x:c>
    </x:row>
    <x:row r="345">
      <x:c r="A345" s="68" t="n">
        <x:v>344</x:v>
      </x:c>
      <x:c r="B345" s="69" t="str">
        <x:v>tiff/trace_net_image_diagram_fast_answer_composer_v1_check.py</x:v>
      </x:c>
      <x:c r="C345" s="69" t="str">
        <x:v>trace_net_image_diagram_fast_answer_composer_v1_check.py</x:v>
      </x:c>
      <x:c r="D345" s="69" t="str">
        <x:v>visual</x:v>
      </x:c>
      <x:c r="E345" s="69" t="str">
        <x:v>benchmarks, ingestion</x:v>
      </x:c>
      <x:c r="F345" s="69" t="str">
        <x:v>visual</x:v>
      </x:c>
      <x:c r="G345" s="69" t="str">
        <x:v>src/trace_net/visual/</x:v>
      </x:c>
      <x:c r="H345" s="69" t="str">
        <x:v>src/trace_net/visual/trace_net_image_diagram_fast_answer_composer_v1_check.py</x:v>
      </x:c>
      <x:c r="I345" s="69" t="str">
        <x:v>verification implementation module</x:v>
      </x:c>
      <x:c r="J345" s="69" t="str">
        <x:v>MOVE_WITH_IMPORT_UPDATES_AND_COMPATIBILITY_WRAPPER</x:v>
      </x:c>
      <x:c r="K345" s="70" t="b">
        <x:v>1</x:v>
      </x:c>
      <x:c r="L345" s="70" t="b">
        <x:v>0</x:v>
      </x:c>
      <x:c r="M345" s="70" t="b">
        <x:v>1</x:v>
      </x:c>
      <x:c r="N345" s="69" t="n">
        <x:v>2</x:v>
      </x:c>
      <x:c r="O345" s="69" t="n">
        <x:v>0</x:v>
      </x:c>
      <x:c r="P345" s="69" t="str">
        <x:v>scripts/check_trace_net_image_diagram_fast_answer_composer_v1.py; tests/unit/test_trace_net_image_visual_evidence_fast_answer_v1.py</x:v>
      </x:c>
      <x:c r="Q345" s="71" t="n">
        <x:v>0.96</x:v>
      </x:c>
      <x:c r="R345" s="69" t="str">
        <x:v>visual/image/vision naming</x:v>
      </x:c>
      <x:c r="S345" s="69" t="str">
        <x:v>Check implementation is imported by active scripts/tests and belongs with visual code.</x:v>
      </x:c>
      <x:c r="T345" s="69" t="str">
        <x:v>Update check wrapper imports and preserve old tiff path until the check passes.</x:v>
      </x:c>
      <x:c r="U345" s="69" t="str"/>
      <x:c r="V345" s="69" t="str">
        <x:v>TRACE_NET_IMAGE_DIAGRAM_FAST_ANSWER_COMPOSER_QUALITY_CHECKED</x:v>
      </x:c>
      <x:c r="W345" s="69" t="str"/>
      <x:c r="X345" s="72" t="n">
        <x:v>4976</x:v>
      </x:c>
      <x:c r="Y345" s="70" t="b">
        <x:v>1</x:v>
      </x:c>
      <x:c r="Z345" s="69" t="str">
        <x:v>Compatibility required</x:v>
      </x:c>
      <x:c r="AA345" s="69" t="str">
        <x:v>https://github.com/jwild2027/heico-ai-internship-summer-2026/blob/srv/tiff/trace_net_image_diagram_fast_answer_composer_v1_check.py</x:v>
      </x:c>
      <x:c r="AB345" s="69" t="str">
        <x:v>shared &lt;= string:schema; ingestion &lt;= path:tiff; visual &lt;= path:diagram, string:diagram, string:llava, environment:diagram; context &lt;= string:source_trace; serving &lt;= string:api; benchmarks &lt;= symbol:eval, string:quality_check, environment:quality_check</x:v>
      </x:c>
    </x:row>
    <x:row r="346">
      <x:c r="A346" s="68" t="n">
        <x:v>345</x:v>
      </x:c>
      <x:c r="B346" s="69" t="str">
        <x:v>tiff/trace_net_image_ocr_figure_callout_extractor_v1.py</x:v>
      </x:c>
      <x:c r="C346" s="69" t="str">
        <x:v>trace_net_image_ocr_figure_callout_extractor_v1.py</x:v>
      </x:c>
      <x:c r="D346" s="69" t="str">
        <x:v>visual</x:v>
      </x:c>
      <x:c r="E346" s="69" t="str">
        <x:v>ocr, ingestion</x:v>
      </x:c>
      <x:c r="F346" s="69" t="str">
        <x:v>ocr</x:v>
      </x:c>
      <x:c r="G346" s="69" t="str">
        <x:v>src/trace_net/ocr/</x:v>
      </x:c>
      <x:c r="H346" s="69" t="str">
        <x:v>src/trace_net/ocr/trace_net_image_ocr_figure_callout_extractor_v1.py</x:v>
      </x:c>
      <x:c r="I346" s="69" t="str">
        <x:v>artifact builder implementation</x:v>
      </x:c>
      <x:c r="J346" s="69" t="str">
        <x:v>MOVE_WITH_IMPORT_UPDATES_AND_COMPATIBILITY_WRAPPER</x:v>
      </x:c>
      <x:c r="K346" s="70" t="b">
        <x:v>1</x:v>
      </x:c>
      <x:c r="L346" s="70" t="b">
        <x:v>0</x:v>
      </x:c>
      <x:c r="M346" s="70" t="b">
        <x:v>1</x:v>
      </x:c>
      <x:c r="N346" s="69" t="n">
        <x:v>2</x:v>
      </x:c>
      <x:c r="O346" s="69" t="n">
        <x:v>0</x:v>
      </x:c>
      <x:c r="P346" s="69" t="str">
        <x:v>scripts/build_trace_net_image_ocr_figure_callout_extractor_v1.py; tests/unit/test_trace_net_image_ocr_linker_upgrade_v1.py</x:v>
      </x:c>
      <x:c r="Q346" s="71" t="n">
        <x:v>0.96</x:v>
      </x:c>
      <x:c r="R346" s="69" t="str">
        <x:v>OCR/fishnet naming</x:v>
      </x:c>
      <x:c r="S346" s="69" t="str">
        <x:v>Build implementation is imported by active wrappers/tests and belongs to the ocr package.</x:v>
      </x:c>
      <x:c r="T346" s="69" t="str">
        <x:v>Update wrapper imports and compare generated artifact counts/checksums.</x:v>
      </x:c>
      <x:c r="U346" s="69" t="str"/>
      <x:c r="V346" s="69" t="str">
        <x:v>TRACE_NET_IMAGE_OCR_FIGURE_CALLOUT_EXTRACTOR_BUILT</x:v>
      </x:c>
      <x:c r="W346" s="69" t="str"/>
      <x:c r="X346" s="72" t="n">
        <x:v>23249</x:v>
      </x:c>
      <x:c r="Y346" s="70" t="b">
        <x:v>1</x:v>
      </x:c>
      <x:c r="Z346" s="69" t="str">
        <x:v>Compatibility required</x:v>
      </x:c>
      <x:c r="AA346" s="69" t="str">
        <x:v>https://github.com/jwild2027/heico-ai-internship-summer-2026/blob/srv/tiff/trace_net_image_ocr_figure_callout_extractor_v1.py</x:v>
      </x:c>
      <x:c r="AB346" s="69" t="str">
        <x:v>shared &lt;= string:contract; ingestion &lt;= path:tiff, symbol:extract_page, string:scan_pack; ocr &lt;= path:ocr, symbol:ocr, string:ocr, environment:ocr; visual &lt;= path:callout, symbol:callout, symbol:visual, string:callout, string:llava, string:visual, environment:callout; tables &lt;= string:table; embeddings &lt;= string:qdrant</x:v>
      </x:c>
    </x:row>
    <x:row r="347">
      <x:c r="A347" s="68" t="n">
        <x:v>346</x:v>
      </x:c>
      <x:c r="B347" s="69" t="str">
        <x:v>tiff/trace_net_image_ocr_figure_callout_extractor_v1_check.py</x:v>
      </x:c>
      <x:c r="C347" s="69" t="str">
        <x:v>trace_net_image_ocr_figure_callout_extractor_v1_check.py</x:v>
      </x:c>
      <x:c r="D347" s="69" t="str">
        <x:v>visual</x:v>
      </x:c>
      <x:c r="E347" s="69" t="str">
        <x:v>ocr, benchmarks, ingestion</x:v>
      </x:c>
      <x:c r="F347" s="69" t="str">
        <x:v>ocr</x:v>
      </x:c>
      <x:c r="G347" s="69" t="str">
        <x:v>src/trace_net/ocr/</x:v>
      </x:c>
      <x:c r="H347" s="69" t="str">
        <x:v>src/trace_net/ocr/trace_net_image_ocr_figure_callout_extractor_v1_check.py</x:v>
      </x:c>
      <x:c r="I347" s="69" t="str">
        <x:v>verification implementation module</x:v>
      </x:c>
      <x:c r="J347" s="69" t="str">
        <x:v>MOVE_WITH_IMPORT_UPDATES_AND_COMPATIBILITY_WRAPPER</x:v>
      </x:c>
      <x:c r="K347" s="70" t="b">
        <x:v>1</x:v>
      </x:c>
      <x:c r="L347" s="70" t="b">
        <x:v>0</x:v>
      </x:c>
      <x:c r="M347" s="70" t="b">
        <x:v>1</x:v>
      </x:c>
      <x:c r="N347" s="69" t="n">
        <x:v>2</x:v>
      </x:c>
      <x:c r="O347" s="69" t="n">
        <x:v>0</x:v>
      </x:c>
      <x:c r="P347" s="69" t="str">
        <x:v>scripts/check_trace_net_image_ocr_figure_callout_extractor_v1.py; tests/unit/test_trace_net_image_ocr_linker_upgrade_v1.py</x:v>
      </x:c>
      <x:c r="Q347" s="71" t="n">
        <x:v>0.96</x:v>
      </x:c>
      <x:c r="R347" s="69" t="str">
        <x:v>OCR/fishnet naming</x:v>
      </x:c>
      <x:c r="S347" s="69" t="str">
        <x:v>Check implementation is imported by active scripts/tests and belongs with ocr code.</x:v>
      </x:c>
      <x:c r="T347" s="69" t="str">
        <x:v>Update check wrapper imports and preserve old tiff path until the check passes.</x:v>
      </x:c>
      <x:c r="U347" s="69" t="str"/>
      <x:c r="V347" s="69" t="str">
        <x:v>TRACE_NET_IMAGE_OCR_FIGURE_CALLOUT_EXTRACTOR_QUALITY_CHECKED</x:v>
      </x:c>
      <x:c r="W347" s="69" t="str"/>
      <x:c r="X347" s="72" t="n">
        <x:v>6217</x:v>
      </x:c>
      <x:c r="Y347" s="70" t="b">
        <x:v>1</x:v>
      </x:c>
      <x:c r="Z347" s="69" t="str">
        <x:v>Compatibility required</x:v>
      </x:c>
      <x:c r="AA347" s="69" t="str">
        <x:v>https://github.com/jwild2027/heico-ai-internship-summer-2026/blob/srv/tiff/trace_net_image_ocr_figure_callout_extractor_v1_check.py</x:v>
      </x:c>
      <x:c r="AB347" s="69" t="str">
        <x:v>ingestion &lt;= path:tiff; ocr &lt;= path:ocr, string:ocr, environment:ocr; visual &lt;= path:callout, string:callout, string:visual, environment:callout; context &lt;= string:source_trace; serving &lt;= string:serve, string:sse; benchmarks &lt;= symbol:eval, string:quality_check, environment:quality_check</x:v>
      </x:c>
    </x:row>
    <x:row r="348">
      <x:c r="A348" s="68" t="n">
        <x:v>347</x:v>
      </x:c>
      <x:c r="B348" s="69" t="str">
        <x:v>tiff/trace_net_image_route_fast_chat_adapter_v1.py</x:v>
      </x:c>
      <x:c r="C348" s="69" t="str">
        <x:v>trace_net_image_route_fast_chat_adapter_v1.py</x:v>
      </x:c>
      <x:c r="D348" s="69" t="str">
        <x:v>visual</x:v>
      </x:c>
      <x:c r="E348" s="69" t="str"/>
      <x:c r="F348" s="69" t="str">
        <x:v>visual</x:v>
      </x:c>
      <x:c r="G348" s="69" t="str">
        <x:v>src/trace_net/visual/</x:v>
      </x:c>
      <x:c r="H348" s="69" t="str">
        <x:v>src/trace_net/visual/trace_net_image_route_fast_chat_adapter_v1.py</x:v>
      </x:c>
      <x:c r="I348" s="69" t="str">
        <x:v>active library module</x:v>
      </x:c>
      <x:c r="J348" s="69" t="str">
        <x:v>MOVE_WITH_IMPORT_UPDATES_AND_COMPATIBILITY_WRAPPER</x:v>
      </x:c>
      <x:c r="K348" s="70" t="b">
        <x:v>1</x:v>
      </x:c>
      <x:c r="L348" s="70" t="b">
        <x:v>0</x:v>
      </x:c>
      <x:c r="M348" s="70" t="b">
        <x:v>1</x:v>
      </x:c>
      <x:c r="N348" s="69" t="n">
        <x:v>3</x:v>
      </x:c>
      <x:c r="O348" s="69" t="n">
        <x:v>0</x:v>
      </x:c>
      <x:c r="P348" s="69" t="str">
        <x:v>scripts/build_trace_net_image_route_fast_chat_adapter_v1.py; tests/unit/test_trace_net_fast_runner_adapter_str_path_fix_v1.py; tests/unit/test_trace_net_image_route_fast_chat_integration_v1.py</x:v>
      </x:c>
      <x:c r="Q348" s="71" t="n">
        <x:v>0.95</x:v>
      </x:c>
      <x:c r="R348" s="69" t="str">
        <x:v>visual/image/vision naming</x:v>
      </x:c>
      <x:c r="S348" s="69" t="str">
        <x:v>Primary implementation belongs to the visual stage based on filename, imports, and inventory evidence.</x:v>
      </x:c>
      <x:c r="T348" s="69" t="str">
        <x:v>Update imports and retain the old tiff module as a wrapper when callers exist.</x:v>
      </x:c>
      <x:c r="U348" s="69" t="str"/>
      <x:c r="V348" s="69" t="str">
        <x:v>TRACE_NET_IMAGE_ROUTE_FAST_CHAT_ADAPTER_BUILT</x:v>
      </x:c>
      <x:c r="W348" s="69" t="str"/>
      <x:c r="X348" s="72" t="n">
        <x:v>18470</x:v>
      </x:c>
      <x:c r="Y348" s="70" t="b">
        <x:v>1</x:v>
      </x:c>
      <x:c r="Z348" s="69" t="str">
        <x:v>Compatibility required</x:v>
      </x:c>
      <x:c r="AA348" s="69" t="str">
        <x:v>https://github.com/jwild2027/heico-ai-internship-summer-2026/blob/srv/tiff/trace_net_image_route_fast_chat_adapter_v1.py</x:v>
      </x:c>
      <x:c r="AB348" s="69" t="str">
        <x:v>shared &lt;= string:contract, string:schema; ingestion &lt;= path:tiff; ocr &lt;= string:ocr; visual &lt;= path:image_route, symbol:callout, string:callout, string:diagram, string:image_route, string:image_visual, environment:image_route; tables &lt;= string:table; embeddings &lt;= string:qdrant</x:v>
      </x:c>
    </x:row>
    <x:row r="349">
      <x:c r="A349" s="68" t="n">
        <x:v>348</x:v>
      </x:c>
      <x:c r="B349" s="69" t="str">
        <x:v>tiff/trace_net_image_route_fast_chat_adapter_v1.py.pre_output_dir_fix_v1.bak</x:v>
      </x:c>
      <x:c r="C349" s="69" t="str">
        <x:v>trace_net_image_route_fast_chat_adapter_v1.py.pre_output_dir_fix_v1.bak</x:v>
      </x:c>
      <x:c r="D349" s="69" t="str">
        <x:v>ingestion</x:v>
      </x:c>
      <x:c r="E349" s="69" t="str">
        <x:v>visual</x:v>
      </x:c>
      <x:c r="F349" s="69" t="str">
        <x:v>legacy</x:v>
      </x:c>
      <x:c r="G349" s="69" t="str">
        <x:v>legacy/tiff_backups/</x:v>
      </x:c>
      <x:c r="H349" s="69" t="str">
        <x:v>legacy/tiff_backups/trace_net_image_route_fast_chat_adapter_v1.py.pre_output_dir_fix_v1.bak</x:v>
      </x:c>
      <x:c r="I349" s="69" t="str">
        <x:v>backup snapshot</x:v>
      </x:c>
      <x:c r="J349" s="69" t="str">
        <x:v>LEGACY_ARCHIVE_WITH_GIT_MV</x:v>
      </x:c>
      <x:c r="K349" s="70" t="b">
        <x:v>0</x:v>
      </x:c>
      <x:c r="L349" s="70" t="b">
        <x:v>0</x:v>
      </x:c>
      <x:c r="M349" s="70" t="b">
        <x:v>0</x:v>
      </x:c>
      <x:c r="N349" s="69" t="n">
        <x:v>0</x:v>
      </x:c>
      <x:c r="O349" s="69" t="n">
        <x:v>0</x:v>
      </x:c>
      <x:c r="P349" s="69" t="str"/>
      <x:c r="Q349" s="71" t="n">
        <x:v>1</x:v>
      </x:c>
      <x:c r="R349" s="69" t="str">
        <x:v>backup snapshot</x:v>
      </x:c>
      <x:c r="S349" s="69" t="str">
        <x:v>Timestamped or pre-change backup copy beside the active module.</x:v>
      </x:c>
      <x:c r="T349" s="69" t="str">
        <x:v>Archive only; do not delete. Confirm the non-backup active file exists first.</x:v>
      </x:c>
      <x:c r="U349" s="69" t="str"/>
      <x:c r="V349" s="69" t="str"/>
      <x:c r="W349" s="69" t="str"/>
      <x:c r="X349" s="72" t="n">
        <x:v>18236</x:v>
      </x:c>
      <x:c r="Y349" s="70" t="b">
        <x:v>1</x:v>
      </x:c>
      <x:c r="Z349" s="69" t="str">
        <x:v>Legacy archive</x:v>
      </x:c>
      <x:c r="AA349" s="69" t="str">
        <x:v>https://github.com/jwild2027/heico-ai-internship-summer-2026/blob/srv/tiff/trace_net_image_route_fast_chat_adapter_v1.py.pre_output_dir_fix_v1.bak</x:v>
      </x:c>
      <x:c r="AB349" s="69" t="str">
        <x:v>ingestion &lt;= path:tiff; visual &lt;= path:image_route; referenced_by_count=3</x:v>
      </x:c>
    </x:row>
    <x:row r="350">
      <x:c r="A350" s="68" t="n">
        <x:v>349</x:v>
      </x:c>
      <x:c r="B350" s="69" t="str">
        <x:v>tiff/trace_net_image_route_fast_chat_adapter_v1.py.pre_question_path_parent_fix.bak</x:v>
      </x:c>
      <x:c r="C350" s="69" t="str">
        <x:v>trace_net_image_route_fast_chat_adapter_v1.py.pre_question_path_parent_fix.bak</x:v>
      </x:c>
      <x:c r="D350" s="69" t="str">
        <x:v>ingestion</x:v>
      </x:c>
      <x:c r="E350" s="69" t="str">
        <x:v>visual</x:v>
      </x:c>
      <x:c r="F350" s="69" t="str">
        <x:v>legacy</x:v>
      </x:c>
      <x:c r="G350" s="69" t="str">
        <x:v>legacy/tiff_backups/</x:v>
      </x:c>
      <x:c r="H350" s="69" t="str">
        <x:v>legacy/tiff_backups/trace_net_image_route_fast_chat_adapter_v1.py.pre_question_path_parent_fix.bak</x:v>
      </x:c>
      <x:c r="I350" s="69" t="str">
        <x:v>backup snapshot</x:v>
      </x:c>
      <x:c r="J350" s="69" t="str">
        <x:v>LEGACY_ARCHIVE_WITH_GIT_MV</x:v>
      </x:c>
      <x:c r="K350" s="70" t="b">
        <x:v>0</x:v>
      </x:c>
      <x:c r="L350" s="70" t="b">
        <x:v>0</x:v>
      </x:c>
      <x:c r="M350" s="70" t="b">
        <x:v>0</x:v>
      </x:c>
      <x:c r="N350" s="69" t="n">
        <x:v>0</x:v>
      </x:c>
      <x:c r="O350" s="69" t="n">
        <x:v>0</x:v>
      </x:c>
      <x:c r="P350" s="69" t="str"/>
      <x:c r="Q350" s="71" t="n">
        <x:v>1</x:v>
      </x:c>
      <x:c r="R350" s="69" t="str">
        <x:v>backup snapshot</x:v>
      </x:c>
      <x:c r="S350" s="69" t="str">
        <x:v>Timestamped or pre-change backup copy beside the active module.</x:v>
      </x:c>
      <x:c r="T350" s="69" t="str">
        <x:v>Archive only; do not delete. Confirm the non-backup active file exists first.</x:v>
      </x:c>
      <x:c r="U350" s="69" t="str"/>
      <x:c r="V350" s="69" t="str"/>
      <x:c r="W350" s="69" t="str"/>
      <x:c r="X350" s="72" t="n">
        <x:v>18470</x:v>
      </x:c>
      <x:c r="Y350" s="70" t="b">
        <x:v>1</x:v>
      </x:c>
      <x:c r="Z350" s="69" t="str">
        <x:v>Legacy archive</x:v>
      </x:c>
      <x:c r="AA350" s="69" t="str">
        <x:v>https://github.com/jwild2027/heico-ai-internship-summer-2026/blob/srv/tiff/trace_net_image_route_fast_chat_adapter_v1.py.pre_question_path_parent_fix.bak</x:v>
      </x:c>
      <x:c r="AB350" s="69" t="str">
        <x:v>ingestion &lt;= path:tiff; visual &lt;= path:image_route; referenced_by_count=3</x:v>
      </x:c>
    </x:row>
    <x:row r="351">
      <x:c r="A351" s="68" t="n">
        <x:v>350</x:v>
      </x:c>
      <x:c r="B351" s="69" t="str">
        <x:v>tiff/trace_net_image_route_fast_chat_adapter_v1.py.pre_write_dir_fix.bak</x:v>
      </x:c>
      <x:c r="C351" s="69" t="str">
        <x:v>trace_net_image_route_fast_chat_adapter_v1.py.pre_write_dir_fix.bak</x:v>
      </x:c>
      <x:c r="D351" s="69" t="str">
        <x:v>ingestion</x:v>
      </x:c>
      <x:c r="E351" s="69" t="str">
        <x:v>visual</x:v>
      </x:c>
      <x:c r="F351" s="69" t="str">
        <x:v>legacy</x:v>
      </x:c>
      <x:c r="G351" s="69" t="str">
        <x:v>legacy/tiff_backups/</x:v>
      </x:c>
      <x:c r="H351" s="69" t="str">
        <x:v>legacy/tiff_backups/trace_net_image_route_fast_chat_adapter_v1.py.pre_write_dir_fix.bak</x:v>
      </x:c>
      <x:c r="I351" s="69" t="str">
        <x:v>backup snapshot</x:v>
      </x:c>
      <x:c r="J351" s="69" t="str">
        <x:v>LEGACY_ARCHIVE_WITH_GIT_MV</x:v>
      </x:c>
      <x:c r="K351" s="70" t="b">
        <x:v>0</x:v>
      </x:c>
      <x:c r="L351" s="70" t="b">
        <x:v>0</x:v>
      </x:c>
      <x:c r="M351" s="70" t="b">
        <x:v>0</x:v>
      </x:c>
      <x:c r="N351" s="69" t="n">
        <x:v>0</x:v>
      </x:c>
      <x:c r="O351" s="69" t="n">
        <x:v>0</x:v>
      </x:c>
      <x:c r="P351" s="69" t="str"/>
      <x:c r="Q351" s="71" t="n">
        <x:v>1</x:v>
      </x:c>
      <x:c r="R351" s="69" t="str">
        <x:v>backup snapshot</x:v>
      </x:c>
      <x:c r="S351" s="69" t="str">
        <x:v>Timestamped or pre-change backup copy beside the active module.</x:v>
      </x:c>
      <x:c r="T351" s="69" t="str">
        <x:v>Archive only; do not delete. Confirm the non-backup active file exists first.</x:v>
      </x:c>
      <x:c r="U351" s="69" t="str"/>
      <x:c r="V351" s="69" t="str"/>
      <x:c r="W351" s="69" t="str"/>
      <x:c r="X351" s="72" t="n">
        <x:v>18292</x:v>
      </x:c>
      <x:c r="Y351" s="70" t="b">
        <x:v>1</x:v>
      </x:c>
      <x:c r="Z351" s="69" t="str">
        <x:v>Legacy archive</x:v>
      </x:c>
      <x:c r="AA351" s="69" t="str">
        <x:v>https://github.com/jwild2027/heico-ai-internship-summer-2026/blob/srv/tiff/trace_net_image_route_fast_chat_adapter_v1.py.pre_write_dir_fix.bak</x:v>
      </x:c>
      <x:c r="AB351" s="69" t="str">
        <x:v>ingestion &lt;= path:tiff; visual &lt;= path:image_route; referenced_by_count=3</x:v>
      </x:c>
    </x:row>
    <x:row r="352">
      <x:c r="A352" s="68" t="n">
        <x:v>351</x:v>
      </x:c>
      <x:c r="B352" s="69" t="str">
        <x:v>tiff/trace_net_image_route_multi_route_quality_gate_v1.py</x:v>
      </x:c>
      <x:c r="C352" s="69" t="str">
        <x:v>trace_net_image_route_multi_route_quality_gate_v1.py</x:v>
      </x:c>
      <x:c r="D352" s="69" t="str">
        <x:v>visual</x:v>
      </x:c>
      <x:c r="E352" s="69" t="str">
        <x:v>validation, ingestion, benchmarks</x:v>
      </x:c>
      <x:c r="F352" s="69" t="str">
        <x:v>visual</x:v>
      </x:c>
      <x:c r="G352" s="69" t="str">
        <x:v>src/trace_net/visual/quality/</x:v>
      </x:c>
      <x:c r="H352" s="69" t="str">
        <x:v>src/trace_net/visual/quality/trace_net_image_route_multi_route_quality_gate_v1.py</x:v>
      </x:c>
      <x:c r="I352" s="69" t="str">
        <x:v>quality validator module</x:v>
      </x:c>
      <x:c r="J352" s="69" t="str">
        <x:v>MOVE_WITH_IMPORT_UPDATES_AND_COMPATIBILITY_WRAPPER</x:v>
      </x:c>
      <x:c r="K352" s="70" t="b">
        <x:v>1</x:v>
      </x:c>
      <x:c r="L352" s="70" t="b">
        <x:v>0</x:v>
      </x:c>
      <x:c r="M352" s="70" t="b">
        <x:v>1</x:v>
      </x:c>
      <x:c r="N352" s="69" t="n">
        <x:v>2</x:v>
      </x:c>
      <x:c r="O352" s="69" t="n">
        <x:v>0</x:v>
      </x:c>
      <x:c r="P352" s="69" t="str">
        <x:v>scripts/check_trace_net_image_route_multi_route_quality_gate_v1.py; tests/unit/test_trace_net_image_route_fast_chat_integration_v1.py</x:v>
      </x:c>
      <x:c r="Q352" s="71" t="n">
        <x:v>0.97</x:v>
      </x:c>
      <x:c r="R352" s="69" t="str">
        <x:v>visual/image/vision naming</x:v>
      </x:c>
      <x:c r="S352" s="69" t="str">
        <x:v>Quality logic is reusable source code for the visual stage.</x:v>
      </x:c>
      <x:c r="T352" s="69" t="str">
        <x:v>Update test and script imports; retain the old tiff import as a thin wrapper until PASS.</x:v>
      </x:c>
      <x:c r="U352" s="69" t="str"/>
      <x:c r="V352" s="69" t="str">
        <x:v>TRACE_NET_IMAGE_ROUTE_MULTI_ROUTE_QUALITY_GATE_CHECKED</x:v>
      </x:c>
      <x:c r="W352" s="69" t="str"/>
      <x:c r="X352" s="72" t="n">
        <x:v>10235</x:v>
      </x:c>
      <x:c r="Y352" s="70" t="b">
        <x:v>1</x:v>
      </x:c>
      <x:c r="Z352" s="69" t="str">
        <x:v>Compatibility required</x:v>
      </x:c>
      <x:c r="AA352" s="69" t="str">
        <x:v>https://github.com/jwild2027/heico-ai-internship-summer-2026/blob/srv/tiff/trace_net_image_route_multi_route_quality_gate_v1.py</x:v>
      </x:c>
      <x:c r="AB352" s="69" t="str">
        <x:v>shared &lt;= string:contract, string:schema; ingestion &lt;= path:tiff; visual &lt;= path:image_route, string:diagram, string:image_route, string:llava, environment:image_route; embeddings &lt;= string:qdrant; retrieval &lt;= string:opensearch; context &lt;= string:source_trace</x:v>
      </x:c>
    </x:row>
    <x:row r="353">
      <x:c r="A353" s="68" t="n">
        <x:v>352</x:v>
      </x:c>
      <x:c r="B353" s="69" t="str">
        <x:v>tiff/trace_net_image_route_openwebui_endpoint_v1.py</x:v>
      </x:c>
      <x:c r="C353" s="69" t="str">
        <x:v>trace_net_image_route_openwebui_endpoint_v1.py</x:v>
      </x:c>
      <x:c r="D353" s="69" t="str">
        <x:v>serving</x:v>
      </x:c>
      <x:c r="E353" s="69" t="str">
        <x:v>visual</x:v>
      </x:c>
      <x:c r="F353" s="69" t="str">
        <x:v>serving</x:v>
      </x:c>
      <x:c r="G353" s="69" t="str">
        <x:v>src/trace_net/serving/</x:v>
      </x:c>
      <x:c r="H353" s="69" t="str">
        <x:v>src/trace_net/serving/trace_net_image_route_openwebui_endpoint_v1.py</x:v>
      </x:c>
      <x:c r="I353" s="69" t="str">
        <x:v>serving/runtime module</x:v>
      </x:c>
      <x:c r="J353" s="69" t="str">
        <x:v>MOVE_WITH_PROTECTED_COMPATIBILITY_WRAPPER</x:v>
      </x:c>
      <x:c r="K353" s="70" t="b">
        <x:v>1</x:v>
      </x:c>
      <x:c r="L353" s="70" t="b">
        <x:v>1</x:v>
      </x:c>
      <x:c r="M353" s="70" t="b">
        <x:v>1</x:v>
      </x:c>
      <x:c r="N353" s="69" t="n">
        <x:v>9</x:v>
      </x:c>
      <x:c r="O353" s="69" t="n">
        <x:v>0</x:v>
      </x:c>
      <x:c r="P353" s="69" t="str">
        <x:v>scripts/build_trace_net_image_route_openwebui_endpoint_smoke_v1.py; scripts/check_trace_net_image_route_openwebui_endpoint_smoke_v1.py; scripts/serve_trace_net_image_route_openwebui_endpoint_v1.py; tests/unit/test_trace_net_image_route_endpoint_consolidated_v1.py; tests/unit/test_trace_net_image_route_endpoint_direct_fallback_v1.py; tests/unit/test_trace_net_image_route_endpoint_direct_smoke_hardening_v1.py; tests/unit/test_trace_net_image_route_endpoint_final_v1.py; tests/unit/test_trace_net_image_route_endpoint_runner_report_fix_v1.py; tests/unit/test_trace_net_image_route_openwebui_endpoint_v1.py</x:v>
      </x:c>
      <x:c r="Q353" s="71" t="n">
        <x:v>0.98</x:v>
      </x:c>
      <x:c r="R353" s="69" t="str">
        <x:v>visual/image/vision naming</x:v>
      </x:c>
      <x:c r="S353" s="69" t="str">
        <x:v>API, endpoint, server, bridge, or console implementation used by runtime callers.</x:v>
      </x:c>
      <x:c r="T353" s="69" t="str">
        <x:v>Old entrypoint must remain callable; verify relevant ports and OpenWebUI behavior.</x:v>
      </x:c>
      <x:c r="U353" s="69" t="str">
        <x:v>8031</x:v>
      </x:c>
      <x:c r="V353" s="69" t="str">
        <x:v>TRACE_NET_FAST_CHAT_RUNNER_BUILT, TRACE_NET_IMAGE_ROUTE_FAST_CHAT_ADAPTER_BUILT, TRACE_NET_IMAGE_ROUTE_MULTI_ROUTE_QUALITY_GATE_CHECKED, TRACE_NET_IMAGE_ROUTE_OPENWEBUI_ENDPOINT_RUNNER_RESULT, TRACE_NET_IMAGE_ROUTE_OPENWEBUI_ENDPOINT_SMOKE_BUILT, TRACE_NET_IMAGE_ROUTE_OPENWEBUI_ENDPOINT_SMOKE_CHECKED, TRACE_NET_IMAGE_ROUTE_OPENWEBUI_ENDPOINT_V1_SERVING</x:v>
      </x:c>
      <x:c r="W353" s="69" t="str"/>
      <x:c r="X353" s="72" t="n">
        <x:v>26844</x:v>
      </x:c>
      <x:c r="Y353" s="70" t="b">
        <x:v>1</x:v>
      </x:c>
      <x:c r="Z353" s="69" t="str">
        <x:v>Protected runtime</x:v>
      </x:c>
      <x:c r="AA353" s="69" t="str">
        <x:v>https://github.com/jwild2027/heico-ai-internship-summer-2026/blob/srv/tiff/trace_net_image_route_openwebui_endpoint_v1.py</x:v>
      </x:c>
      <x:c r="AB353" s="69" t="str">
        <x:v>shared &lt;= string:contract; ingestion &lt;= path:tiff; ocr &lt;= string:ocr; visual &lt;= path:image_route, symbol:callout, string:callout, string:diagram, string:image_route, string:image_visual, environment:image_route; tables &lt;= string:table; embeddings &lt;= string:qdrant</x:v>
      </x:c>
    </x:row>
    <x:row r="354">
      <x:c r="A354" s="68" t="n">
        <x:v>353</x:v>
      </x:c>
      <x:c r="B354" s="69" t="str">
        <x:v>tiff/trace_net_image_visual_evidence_nomenclature_merger_v1.py</x:v>
      </x:c>
      <x:c r="C354" s="69" t="str">
        <x:v>trace_net_image_visual_evidence_nomenclature_merger_v1.py</x:v>
      </x:c>
      <x:c r="D354" s="69" t="str">
        <x:v>visual</x:v>
      </x:c>
      <x:c r="E354" s="69" t="str"/>
      <x:c r="F354" s="69" t="str">
        <x:v>visual</x:v>
      </x:c>
      <x:c r="G354" s="69" t="str">
        <x:v>src/trace_net/visual/</x:v>
      </x:c>
      <x:c r="H354" s="69" t="str">
        <x:v>src/trace_net/visual/trace_net_image_visual_evidence_nomenclature_merger_v1.py</x:v>
      </x:c>
      <x:c r="I354" s="69" t="str">
        <x:v>artifact builder implementation</x:v>
      </x:c>
      <x:c r="J354" s="69" t="str">
        <x:v>MOVE_WITH_IMPORT_UPDATES_AND_COMPATIBILITY_WRAPPER</x:v>
      </x:c>
      <x:c r="K354" s="70" t="b">
        <x:v>1</x:v>
      </x:c>
      <x:c r="L354" s="70" t="b">
        <x:v>0</x:v>
      </x:c>
      <x:c r="M354" s="70" t="b">
        <x:v>1</x:v>
      </x:c>
      <x:c r="N354" s="69" t="n">
        <x:v>3</x:v>
      </x:c>
      <x:c r="O354" s="69" t="n">
        <x:v>0</x:v>
      </x:c>
      <x:c r="P354" s="69" t="str">
        <x:v>scripts/build_trace_net_image_visual_evidence_nomenclature_merger_v1.py; scripts/check_trace_net_image_visual_evidence_nomenclature_merger_v1.py; tests/unit/test_trace_net_image_visual_evidence_nomenclature_merger_v1.py</x:v>
      </x:c>
      <x:c r="Q354" s="71" t="n">
        <x:v>0.96</x:v>
      </x:c>
      <x:c r="R354" s="69" t="str">
        <x:v>visual/image/vision naming</x:v>
      </x:c>
      <x:c r="S354" s="69" t="str">
        <x:v>Build implementation is imported by active wrappers/tests and belongs to the visual package.</x:v>
      </x:c>
      <x:c r="T354" s="69" t="str">
        <x:v>Update wrapper imports and compare generated artifact counts/checksums.</x:v>
      </x:c>
      <x:c r="U354" s="69" t="str"/>
      <x:c r="V354" s="69" t="str">
        <x:v>TRACE_NET_IMAGE_VISUAL_EVIDENCE_NOMENCLATURE_MERGER_BUILT, TRACE_NET_IMAGE_VISUAL_EVIDENCE_NOMENCLATURE_MERGER_QUALITY_CHECKED</x:v>
      </x:c>
      <x:c r="W354" s="69" t="str"/>
      <x:c r="X354" s="72" t="n">
        <x:v>25108</x:v>
      </x:c>
      <x:c r="Y354" s="70" t="b">
        <x:v>1</x:v>
      </x:c>
      <x:c r="Z354" s="69" t="str">
        <x:v>Compatibility required</x:v>
      </x:c>
      <x:c r="AA354" s="69" t="str">
        <x:v>https://github.com/jwild2027/heico-ai-internship-summer-2026/blob/srv/tiff/trace_net_image_visual_evidence_nomenclature_merger_v1.py</x:v>
      </x:c>
      <x:c r="AB354" s="69" t="str">
        <x:v>shared &lt;= string:contract, string:schema; ingestion &lt;= path:tiff, string:tiff; ocr &lt;= symbol:ocr, string:ocr; visual &lt;= path:image_visual, path:visual, string:image_visual, string:visual, environment:image_visual, environment:visual; tables &lt;= symbol:table; graph &lt;= string:community</x:v>
      </x:c>
    </x:row>
    <x:row r="355">
      <x:c r="A355" s="68" t="n">
        <x:v>354</x:v>
      </x:c>
      <x:c r="B355" s="69" t="str">
        <x:v>tiff/trace_net_image_visual_evidence_pack_v1.py</x:v>
      </x:c>
      <x:c r="C355" s="69" t="str">
        <x:v>trace_net_image_visual_evidence_pack_v1.py</x:v>
      </x:c>
      <x:c r="D355" s="69" t="str">
        <x:v>visual</x:v>
      </x:c>
      <x:c r="E355" s="69" t="str">
        <x:v>context, ingestion</x:v>
      </x:c>
      <x:c r="F355" s="69" t="str">
        <x:v>visual</x:v>
      </x:c>
      <x:c r="G355" s="69" t="str">
        <x:v>src/trace_net/visual/</x:v>
      </x:c>
      <x:c r="H355" s="69" t="str">
        <x:v>src/trace_net/visual/trace_net_image_visual_evidence_pack_v1.py</x:v>
      </x:c>
      <x:c r="I355" s="69" t="str">
        <x:v>active library module</x:v>
      </x:c>
      <x:c r="J355" s="69" t="str">
        <x:v>MOVE_WITH_IMPORT_UPDATES_AND_COMPATIBILITY_WRAPPER</x:v>
      </x:c>
      <x:c r="K355" s="70" t="b">
        <x:v>1</x:v>
      </x:c>
      <x:c r="L355" s="70" t="b">
        <x:v>0</x:v>
      </x:c>
      <x:c r="M355" s="70" t="b">
        <x:v>1</x:v>
      </x:c>
      <x:c r="N355" s="69" t="n">
        <x:v>2</x:v>
      </x:c>
      <x:c r="O355" s="69" t="n">
        <x:v>0</x:v>
      </x:c>
      <x:c r="P355" s="69" t="str">
        <x:v>scripts/build_trace_net_image_visual_evidence_pack_v1.py; tests/unit/test_trace_net_image_visual_evidence_fast_answer_v1.py</x:v>
      </x:c>
      <x:c r="Q355" s="71" t="n">
        <x:v>0.95</x:v>
      </x:c>
      <x:c r="R355" s="69" t="str">
        <x:v>visual/image/vision naming</x:v>
      </x:c>
      <x:c r="S355" s="69" t="str">
        <x:v>Primary implementation belongs to the visual stage based on filename, imports, and inventory evidence.</x:v>
      </x:c>
      <x:c r="T355" s="69" t="str">
        <x:v>Update imports and retain the old tiff module as a wrapper when callers exist.</x:v>
      </x:c>
      <x:c r="U355" s="69" t="str"/>
      <x:c r="V355" s="69" t="str">
        <x:v>TRACE_NET_IMAGE_VISUAL_EVIDENCE_PACK_BUILT</x:v>
      </x:c>
      <x:c r="W355" s="69" t="str"/>
      <x:c r="X355" s="72" t="n">
        <x:v>18483</x:v>
      </x:c>
      <x:c r="Y355" s="70" t="b">
        <x:v>1</x:v>
      </x:c>
      <x:c r="Z355" s="69" t="str">
        <x:v>Compatibility required</x:v>
      </x:c>
      <x:c r="AA355" s="69" t="str">
        <x:v>https://github.com/jwild2027/heico-ai-internship-summer-2026/blob/srv/tiff/trace_net_image_visual_evidence_pack_v1.py</x:v>
      </x:c>
      <x:c r="AB355" s="69" t="str">
        <x:v>shared &lt;= string:contract, string:schema; ingestion &lt;= path:tiff, symbol:extract_page; ocr &lt;= string:ocr; visual &lt;= path:image_visual, path:visual, symbol:visual, string:callout, string:diagram, string:image_visual, string:llava, environment:image_visual; tables &lt;= symbol:table, string:table; graph &lt;= string:graph, string:leiden</x:v>
      </x:c>
    </x:row>
    <x:row r="356">
      <x:c r="A356" s="68" t="n">
        <x:v>355</x:v>
      </x:c>
      <x:c r="B356" s="69" t="str">
        <x:v>tiff/trace_net_image_visual_evidence_pack_v1_check.py</x:v>
      </x:c>
      <x:c r="C356" s="69" t="str">
        <x:v>trace_net_image_visual_evidence_pack_v1_check.py</x:v>
      </x:c>
      <x:c r="D356" s="69" t="str">
        <x:v>visual</x:v>
      </x:c>
      <x:c r="E356" s="69" t="str">
        <x:v>context</x:v>
      </x:c>
      <x:c r="F356" s="69" t="str">
        <x:v>visual</x:v>
      </x:c>
      <x:c r="G356" s="69" t="str">
        <x:v>src/trace_net/visual/</x:v>
      </x:c>
      <x:c r="H356" s="69" t="str">
        <x:v>src/trace_net/visual/trace_net_image_visual_evidence_pack_v1_check.py</x:v>
      </x:c>
      <x:c r="I356" s="69" t="str">
        <x:v>verification implementation module</x:v>
      </x:c>
      <x:c r="J356" s="69" t="str">
        <x:v>MOVE_WITH_IMPORT_UPDATES_AND_COMPATIBILITY_WRAPPER</x:v>
      </x:c>
      <x:c r="K356" s="70" t="b">
        <x:v>1</x:v>
      </x:c>
      <x:c r="L356" s="70" t="b">
        <x:v>0</x:v>
      </x:c>
      <x:c r="M356" s="70" t="b">
        <x:v>1</x:v>
      </x:c>
      <x:c r="N356" s="69" t="n">
        <x:v>2</x:v>
      </x:c>
      <x:c r="O356" s="69" t="n">
        <x:v>0</x:v>
      </x:c>
      <x:c r="P356" s="69" t="str">
        <x:v>scripts/check_trace_net_image_visual_evidence_pack_v1.py; tests/unit/test_trace_net_image_visual_evidence_fast_answer_v1.py</x:v>
      </x:c>
      <x:c r="Q356" s="71" t="n">
        <x:v>0.96</x:v>
      </x:c>
      <x:c r="R356" s="69" t="str">
        <x:v>visual/image/vision naming</x:v>
      </x:c>
      <x:c r="S356" s="69" t="str">
        <x:v>Check implementation is imported by active scripts/tests and belongs with visual code.</x:v>
      </x:c>
      <x:c r="T356" s="69" t="str">
        <x:v>Update check wrapper imports and preserve old tiff path until the check passes.</x:v>
      </x:c>
      <x:c r="U356" s="69" t="str"/>
      <x:c r="V356" s="69" t="str">
        <x:v>TRACE_NET_IMAGE_VISUAL_EVIDENCE_PACK_QUALITY_CHECKED</x:v>
      </x:c>
      <x:c r="W356" s="69" t="str"/>
      <x:c r="X356" s="72" t="n">
        <x:v>4531</x:v>
      </x:c>
      <x:c r="Y356" s="70" t="b">
        <x:v>1</x:v>
      </x:c>
      <x:c r="Z356" s="69" t="str">
        <x:v>Compatibility required</x:v>
      </x:c>
      <x:c r="AA356" s="69" t="str">
        <x:v>https://github.com/jwild2027/heico-ai-internship-summer-2026/blob/srv/tiff/trace_net_image_visual_evidence_pack_v1_check.py</x:v>
      </x:c>
      <x:c r="AB356" s="69" t="str">
        <x:v>shared &lt;= string:schema; ingestion &lt;= path:tiff; visual &lt;= path:image_visual, path:visual, string:diagram, string:image_visual, string:visual, environment:image_visual, environment:visual; context &lt;= path:evidence_pack, string:evidence_pack, string:source_trace, environment:evidence_pack; benchmarks &lt;= symbol:eval, string:quality_check, environment:quality_check; referenced_by_count=1</x:v>
      </x:c>
    </x:row>
    <x:row r="357">
      <x:c r="A357" s="68" t="n">
        <x:v>356</x:v>
      </x:c>
      <x:c r="B357" s="69" t="str">
        <x:v>tiff/trace_net_image_visual_summary_v1.py</x:v>
      </x:c>
      <x:c r="C357" s="69" t="str">
        <x:v>trace_net_image_visual_summary_v1.py</x:v>
      </x:c>
      <x:c r="D357" s="69" t="str">
        <x:v>visual</x:v>
      </x:c>
      <x:c r="E357" s="69" t="str"/>
      <x:c r="F357" s="69" t="str">
        <x:v>visual</x:v>
      </x:c>
      <x:c r="G357" s="69" t="str">
        <x:v>src/trace_net/visual/</x:v>
      </x:c>
      <x:c r="H357" s="69" t="str">
        <x:v>src/trace_net/visual/trace_net_image_visual_summary_v1.py</x:v>
      </x:c>
      <x:c r="I357" s="69" t="str">
        <x:v>active library module</x:v>
      </x:c>
      <x:c r="J357" s="69" t="str">
        <x:v>MOVE_WITH_PROTECTED_COMPATIBILITY_WRAPPER</x:v>
      </x:c>
      <x:c r="K357" s="70" t="b">
        <x:v>1</x:v>
      </x:c>
      <x:c r="L357" s="70" t="b">
        <x:v>1</x:v>
      </x:c>
      <x:c r="M357" s="70" t="b">
        <x:v>1</x:v>
      </x:c>
      <x:c r="N357" s="69" t="n">
        <x:v>10</x:v>
      </x:c>
      <x:c r="O357" s="69" t="n">
        <x:v>0</x:v>
      </x:c>
      <x:c r="P357" s="69" t="str">
        <x:v>scripts/build_trace_net_image_visual_summary_v1.py; scripts/check_trace_net_image_visual_summary_v1_quality.py; tests/unit/test_trace_net_image_visual_summary_v1.py; tests/unit/test_trace_net_image_visual_summary_v1_copy_signature_fix.py; tests/unit/test_trace_net_image_visual_summary_v1_observation_cleanup.py; tests/unit/test_trace_net_image_visual_summary_v1_ocr_join_fix.py; tests/unit/test_trace_net_image_visual_summary_v1_quality.py; tests/unit/test_trace_net_image_visual_summary_v1_semantic_signature_fix.py; tests/unit/test_trace_net_image_visual_summary_v1_semantic_validator.py; tests/unit/test_trace_net_image_visual_summary_v1_source_resolver.py</x:v>
      </x:c>
      <x:c r="Q357" s="71" t="n">
        <x:v>0.95</x:v>
      </x:c>
      <x:c r="R357" s="69" t="str">
        <x:v>visual/image/vision naming</x:v>
      </x:c>
      <x:c r="S357" s="69" t="str">
        <x:v>Primary implementation belongs to the visual stage based on filename, imports, and inventory evidence.</x:v>
      </x:c>
      <x:c r="T357" s="69" t="str">
        <x:v>Update imports and retain the old tiff module as a wrapper when callers exist.</x:v>
      </x:c>
      <x:c r="U357" s="69" t="str">
        <x:v>11434</x:v>
      </x:c>
      <x:c r="V357" s="69" t="str">
        <x:v>TRACE_NET_IMAGE_VISUAL_SUMMARY_BUILT</x:v>
      </x:c>
      <x:c r="W357" s="69" t="str"/>
      <x:c r="X357" s="72" t="n">
        <x:v>58417</x:v>
      </x:c>
      <x:c r="Y357" s="70" t="b">
        <x:v>1</x:v>
      </x:c>
      <x:c r="Z357" s="69" t="str">
        <x:v>Protected runtime</x:v>
      </x:c>
      <x:c r="AA357" s="69" t="str">
        <x:v>https://github.com/jwild2027/heico-ai-internship-summer-2026/blob/srv/tiff/trace_net_image_visual_summary_v1.py</x:v>
      </x:c>
      <x:c r="AB357" s="69" t="str">
        <x:v>shared &lt;= string:contract, string:schema; ingestion &lt;= path:tiff, symbol:convert, string:convert, string:page_image, string:tiff; ocr &lt;= symbol:fishnet, symbol:ocr, string:fishnet, string:ocr; visual &lt;= path:image_visual, path:visual, symbol:image_visual, symbol:vision, symbol:visual, string:callout, string:image_visual, string:llava; tables &lt;= string:table; embeddings &lt;= string:qdrant</x:v>
      </x:c>
    </x:row>
    <x:row r="358">
      <x:c r="A358" s="68" t="n">
        <x:v>357</x:v>
      </x:c>
      <x:c r="B358" s="69" t="str">
        <x:v>tiff/trace_net_incident_review_bridge_v1.py</x:v>
      </x:c>
      <x:c r="C358" s="69" t="str">
        <x:v>trace_net_incident_review_bridge_v1.py</x:v>
      </x:c>
      <x:c r="D358" s="69" t="str">
        <x:v>serving</x:v>
      </x:c>
      <x:c r="E358" s="69" t="str">
        <x:v>ingestion, benchmarks</x:v>
      </x:c>
      <x:c r="F358" s="69" t="str">
        <x:v>feedback</x:v>
      </x:c>
      <x:c r="G358" s="69" t="str">
        <x:v>src/trace_net/feedback/</x:v>
      </x:c>
      <x:c r="H358" s="69" t="str">
        <x:v>src/trace_net/feedback/trace_net_incident_review_bridge_v1.py</x:v>
      </x:c>
      <x:c r="I358" s="69" t="str">
        <x:v>integration bridge module</x:v>
      </x:c>
      <x:c r="J358" s="69" t="str">
        <x:v>MOVE_WITH_IMPORT_UPDATES_AND_COMPATIBILITY_WRAPPER</x:v>
      </x:c>
      <x:c r="K358" s="70" t="b">
        <x:v>1</x:v>
      </x:c>
      <x:c r="L358" s="70" t="b">
        <x:v>0</x:v>
      </x:c>
      <x:c r="M358" s="70" t="b">
        <x:v>1</x:v>
      </x:c>
      <x:c r="N358" s="69" t="n">
        <x:v>4</x:v>
      </x:c>
      <x:c r="O358" s="69" t="n">
        <x:v>0</x:v>
      </x:c>
      <x:c r="P358" s="69" t="str">
        <x:v>scripts/build_trace_net_incident_review_bridge_v1.py; scripts/check_trace_net_incident_review_bridge_v1_quality.py; tests/unit/test_trace_net_incident_review_bridge_v1.py; tests/unit/test_trace_net_incident_review_bridge_v1_quality.py</x:v>
      </x:c>
      <x:c r="Q358" s="71" t="n">
        <x:v>0.95</x:v>
      </x:c>
      <x:c r="R358" s="69" t="str">
        <x:v>feedback naming</x:v>
      </x:c>
      <x:c r="S358" s="69" t="str">
        <x:v>Bridge connects the feedback stage to another TRACE-Net component.</x:v>
      </x:c>
      <x:c r="T358" s="69" t="str">
        <x:v>Update both producer and consumer imports; keep old bridge module as wrapper.</x:v>
      </x:c>
      <x:c r="U358" s="69" t="str"/>
      <x:c r="V358" s="69" t="str">
        <x:v>TRACE_NET_DATABASE_URL</x:v>
      </x:c>
      <x:c r="W358" s="69" t="str"/>
      <x:c r="X358" s="72" t="n">
        <x:v>29438</x:v>
      </x:c>
      <x:c r="Y358" s="70" t="b">
        <x:v>1</x:v>
      </x:c>
      <x:c r="Z358" s="69" t="str">
        <x:v>Compatibility required</x:v>
      </x:c>
      <x:c r="AA358" s="69" t="str">
        <x:v>https://github.com/jwild2027/heico-ai-internship-summer-2026/blob/srv/tiff/trace_net_incident_review_bridge_v1.py</x:v>
      </x:c>
      <x:c r="AB358" s="69" t="str">
        <x:v>shared &lt;= string:contract, string:schema; ingestion &lt;= path:tiff, string:convert, string:ingest; ocr &lt;= string:ocr; visual &lt;= string:callout, string:diagram, string:visual; tables &lt;= symbol:table, string:table; graph &lt;= string:community, string:graph, string:leiden</x:v>
      </x:c>
    </x:row>
    <x:row r="359">
      <x:c r="A359" s="68" t="n">
        <x:v>358</x:v>
      </x:c>
      <x:c r="B359" s="69" t="str">
        <x:v>tiff/trace_net_incremental_corpus_manifest_v1.py</x:v>
      </x:c>
      <x:c r="C359" s="69" t="str">
        <x:v>trace_net_incremental_corpus_manifest_v1.py</x:v>
      </x:c>
      <x:c r="D359" s="69" t="str">
        <x:v>ingestion</x:v>
      </x:c>
      <x:c r="E359" s="69" t="str">
        <x:v>serving, benchmarks, tables</x:v>
      </x:c>
      <x:c r="F359" s="69" t="str">
        <x:v>ingestion</x:v>
      </x:c>
      <x:c r="G359" s="69" t="str">
        <x:v>src/trace_net/ingestion/</x:v>
      </x:c>
      <x:c r="H359" s="69" t="str">
        <x:v>src/trace_net/ingestion/trace_net_incremental_corpus_manifest_v1.py</x:v>
      </x:c>
      <x:c r="I359" s="69" t="str">
        <x:v>artifact builder implementation</x:v>
      </x:c>
      <x:c r="J359" s="69" t="str">
        <x:v>MOVE_WITH_IMPORT_UPDATES_AND_COMPATIBILITY_WRAPPER</x:v>
      </x:c>
      <x:c r="K359" s="70" t="b">
        <x:v>1</x:v>
      </x:c>
      <x:c r="L359" s="70" t="b">
        <x:v>0</x:v>
      </x:c>
      <x:c r="M359" s="70" t="b">
        <x:v>1</x:v>
      </x:c>
      <x:c r="N359" s="69" t="n">
        <x:v>4</x:v>
      </x:c>
      <x:c r="O359" s="69" t="n">
        <x:v>0</x:v>
      </x:c>
      <x:c r="P359" s="69" t="str">
        <x:v>scripts/build_trace_net_incremental_corpus_manifest_v1.py; scripts/check_trace_net_incremental_corpus_manifest_v1_quality.py; tests/unit/test_trace_net_incremental_corpus_manifest_v1.py; tests/unit/test_trace_net_incremental_corpus_manifest_v1_quality.py</x:v>
      </x:c>
      <x:c r="Q359" s="71" t="n">
        <x:v>0.96</x:v>
      </x:c>
      <x:c r="R359" s="69" t="str">
        <x:v>ingestion/classification naming</x:v>
      </x:c>
      <x:c r="S359" s="69" t="str">
        <x:v>Build implementation is imported by active wrappers/tests and belongs to the ingestion package.</x:v>
      </x:c>
      <x:c r="T359" s="69" t="str">
        <x:v>Update wrapper imports and compare generated artifact counts/checksums.</x:v>
      </x:c>
      <x:c r="U359" s="69" t="str"/>
      <x:c r="V359" s="69" t="str"/>
      <x:c r="W359" s="69" t="str"/>
      <x:c r="X359" s="72" t="n">
        <x:v>37638</x:v>
      </x:c>
      <x:c r="Y359" s="70" t="b">
        <x:v>1</x:v>
      </x:c>
      <x:c r="Z359" s="69" t="str">
        <x:v>Compatibility required</x:v>
      </x:c>
      <x:c r="AA359" s="69" t="str">
        <x:v>https://github.com/jwild2027/heico-ai-internship-summer-2026/blob/srv/tiff/trace_net_incremental_corpus_manifest_v1.py</x:v>
      </x:c>
      <x:c r="AB359" s="69" t="str">
        <x:v>shared &lt;= string:schema; ingestion &lt;= path:tiff, string:pdf, string:tiff; ocr &lt;= string:fishnet, string:ocr; visual &lt;= string:visual; tables &lt;= symbol:table, string:table, string:table_cell; graph &lt;= string:graph, string:leiden</x:v>
      </x:c>
    </x:row>
    <x:row r="360">
      <x:c r="A360" s="68" t="n">
        <x:v>359</x:v>
      </x:c>
      <x:c r="B360" s="69" t="str">
        <x:v>tiff/trace_net_incremental_orchestrator_v1.py</x:v>
      </x:c>
      <x:c r="C360" s="69" t="str">
        <x:v>trace_net_incremental_orchestrator_v1.py</x:v>
      </x:c>
      <x:c r="D360" s="69" t="str">
        <x:v>benchmarks</x:v>
      </x:c>
      <x:c r="E360" s="69" t="str">
        <x:v>legacy, ingestion, tables</x:v>
      </x:c>
      <x:c r="F360" s="69" t="str">
        <x:v>ingestion</x:v>
      </x:c>
      <x:c r="G360" s="69" t="str">
        <x:v>src/trace_net/ingestion/</x:v>
      </x:c>
      <x:c r="H360" s="69" t="str">
        <x:v>src/trace_net/ingestion/trace_net_incremental_orchestrator_v1.py</x:v>
      </x:c>
      <x:c r="I360" s="69" t="str">
        <x:v>runtime orchestration module</x:v>
      </x:c>
      <x:c r="J360" s="69" t="str">
        <x:v>MOVE_WITH_IMPORT_UPDATES_AND_COMPATIBILITY_WRAPPER</x:v>
      </x:c>
      <x:c r="K360" s="70" t="b">
        <x:v>1</x:v>
      </x:c>
      <x:c r="L360" s="70" t="b">
        <x:v>0</x:v>
      </x:c>
      <x:c r="M360" s="70" t="b">
        <x:v>1</x:v>
      </x:c>
      <x:c r="N360" s="69" t="n">
        <x:v>8</x:v>
      </x:c>
      <x:c r="O360" s="69" t="n">
        <x:v>0</x:v>
      </x:c>
      <x:c r="P360" s="69" t="str">
        <x:v>scripts/build_trace_net_incremental_orchestrator_v1.py; scripts/check_trace_net_incremental_orchestrator_v1_quality.py; tests/unit/test_trace_net_incremental_orchestrator_v1.py; tests/unit/test_trace_net_incremental_orchestrator_v1_quality.py</x:v>
      </x:c>
      <x:c r="Q360" s="71" t="n">
        <x:v>0.96</x:v>
      </x:c>
      <x:c r="R360" s="69" t="str">
        <x:v>ingestion/classification naming</x:v>
      </x:c>
      <x:c r="S360" s="69" t="str">
        <x:v>Runtime/orchestrator implementation is imported or protected.</x:v>
      </x:c>
      <x:c r="T360" s="69" t="str">
        <x:v>Preserve CLI, environment variables, and runtime chain during move.</x:v>
      </x:c>
      <x:c r="U360" s="69" t="str"/>
      <x:c r="V360" s="69" t="str"/>
      <x:c r="W360" s="69" t="str"/>
      <x:c r="X360" s="72" t="n">
        <x:v>27716</x:v>
      </x:c>
      <x:c r="Y360" s="70" t="b">
        <x:v>1</x:v>
      </x:c>
      <x:c r="Z360" s="69" t="str">
        <x:v>Compatibility required</x:v>
      </x:c>
      <x:c r="AA360" s="69" t="str">
        <x:v>https://github.com/jwild2027/heico-ai-internship-summer-2026/blob/srv/tiff/trace_net_incremental_orchestrator_v1.py</x:v>
      </x:c>
      <x:c r="AB360" s="69" t="str">
        <x:v>shared &lt;= string:schema; ingestion &lt;= path:tiff, string:convert; ocr &lt;= string:fishnet, string:ocr; visual &lt;= string:visual; tables &lt;= symbol:table, string:table, string:table_cell; graph &lt;= string:community, string:graph, string:leiden</x:v>
      </x:c>
    </x:row>
    <x:row r="361">
      <x:c r="A361" s="68" t="n">
        <x:v>360</x:v>
      </x:c>
      <x:c r="B361" s="69" t="str">
        <x:v>tiff/trace_net_incremental_processing_runner_v1.py</x:v>
      </x:c>
      <x:c r="C361" s="69" t="str">
        <x:v>trace_net_incremental_processing_runner_v1.py</x:v>
      </x:c>
      <x:c r="D361" s="69" t="str">
        <x:v>ingestion</x:v>
      </x:c>
      <x:c r="E361" s="69" t="str">
        <x:v>benchmarks, serving, tables</x:v>
      </x:c>
      <x:c r="F361" s="69" t="str">
        <x:v>ingestion</x:v>
      </x:c>
      <x:c r="G361" s="69" t="str">
        <x:v>src/trace_net/ingestion/</x:v>
      </x:c>
      <x:c r="H361" s="69" t="str">
        <x:v>src/trace_net/ingestion/trace_net_incremental_processing_runner_v1.py</x:v>
      </x:c>
      <x:c r="I361" s="69" t="str">
        <x:v>active library module</x:v>
      </x:c>
      <x:c r="J361" s="69" t="str">
        <x:v>MOVE_WITH_IMPORT_UPDATES_AND_COMPATIBILITY_WRAPPER</x:v>
      </x:c>
      <x:c r="K361" s="70" t="b">
        <x:v>1</x:v>
      </x:c>
      <x:c r="L361" s="70" t="b">
        <x:v>0</x:v>
      </x:c>
      <x:c r="M361" s="70" t="b">
        <x:v>1</x:v>
      </x:c>
      <x:c r="N361" s="69" t="n">
        <x:v>4</x:v>
      </x:c>
      <x:c r="O361" s="69" t="n">
        <x:v>0</x:v>
      </x:c>
      <x:c r="P361" s="69" t="str">
        <x:v>scripts/check_trace_net_incremental_processing_runner_v1_quality.py; scripts/run_trace_net_incremental_processing_v1.py; tests/unit/test_trace_net_incremental_processing_runner_v1.py; tests/unit/test_trace_net_incremental_processing_runner_v1_quality.py</x:v>
      </x:c>
      <x:c r="Q361" s="71" t="n">
        <x:v>0.95</x:v>
      </x:c>
      <x:c r="R361" s="69" t="str">
        <x:v>ingestion/classification naming</x:v>
      </x:c>
      <x:c r="S361" s="69" t="str">
        <x:v>Primary implementation belongs to the ingestion stage based on filename, imports, and inventory evidence.</x:v>
      </x:c>
      <x:c r="T361" s="69" t="str">
        <x:v>Update imports and retain the old tiff module as a wrapper when callers exist.</x:v>
      </x:c>
      <x:c r="U361" s="69" t="str"/>
      <x:c r="V361" s="69" t="str"/>
      <x:c r="W361" s="69" t="str"/>
      <x:c r="X361" s="72" t="n">
        <x:v>27678</x:v>
      </x:c>
      <x:c r="Y361" s="70" t="b">
        <x:v>1</x:v>
      </x:c>
      <x:c r="Z361" s="69" t="str">
        <x:v>Compatibility required</x:v>
      </x:c>
      <x:c r="AA361" s="69" t="str">
        <x:v>https://github.com/jwild2027/heico-ai-internship-summer-2026/blob/srv/tiff/trace_net_incremental_processing_runner_v1.py</x:v>
      </x:c>
      <x:c r="AB361" s="69" t="str">
        <x:v>shared &lt;= string:schema; ingestion &lt;= path:tiff, symbol:extract_page, string:convert; ocr &lt;= string:fishnet, string:ocr; visual &lt;= string:visual; tables &lt;= symbol:table, string:table, string:table_cell; graph &lt;= string:community, string:graph, string:leiden</x:v>
      </x:c>
    </x:row>
    <x:row r="362">
      <x:c r="A362" s="68" t="n">
        <x:v>361</x:v>
      </x:c>
      <x:c r="B362" s="69" t="str">
        <x:v>tiff/trace_net_incremental_state_commit_gate_v1.py</x:v>
      </x:c>
      <x:c r="C362" s="69" t="str">
        <x:v>trace_net_incremental_state_commit_gate_v1.py</x:v>
      </x:c>
      <x:c r="D362" s="69" t="str">
        <x:v>benchmarks</x:v>
      </x:c>
      <x:c r="E362" s="69" t="str">
        <x:v>ingestion, tables</x:v>
      </x:c>
      <x:c r="F362" s="69" t="str">
        <x:v>ingestion</x:v>
      </x:c>
      <x:c r="G362" s="69" t="str">
        <x:v>src/trace_net/ingestion/</x:v>
      </x:c>
      <x:c r="H362" s="69" t="str">
        <x:v>src/trace_net/ingestion/trace_net_incremental_state_commit_gate_v1.py</x:v>
      </x:c>
      <x:c r="I362" s="69" t="str">
        <x:v>data/storage integration module</x:v>
      </x:c>
      <x:c r="J362" s="69" t="str">
        <x:v>MOVE_WITH_IMPORT_UPDATES_AND_COMPATIBILITY_WRAPPER</x:v>
      </x:c>
      <x:c r="K362" s="70" t="b">
        <x:v>1</x:v>
      </x:c>
      <x:c r="L362" s="70" t="b">
        <x:v>0</x:v>
      </x:c>
      <x:c r="M362" s="70" t="b">
        <x:v>1</x:v>
      </x:c>
      <x:c r="N362" s="69" t="n">
        <x:v>4</x:v>
      </x:c>
      <x:c r="O362" s="69" t="n">
        <x:v>0</x:v>
      </x:c>
      <x:c r="P362" s="69" t="str">
        <x:v>scripts/build_trace_net_incremental_state_commit_gate_v1.py; scripts/check_trace_net_incremental_state_commit_gate_v1_quality.py; tests/unit/test_trace_net_incremental_state_commit_gate_v1.py; tests/unit/test_trace_net_incremental_state_commit_gate_v1_quality.py</x:v>
      </x:c>
      <x:c r="Q362" s="71" t="n">
        <x:v>0.95</x:v>
      </x:c>
      <x:c r="R362" s="69" t="str">
        <x:v>ingestion/classification naming</x:v>
      </x:c>
      <x:c r="S362" s="69" t="str">
        <x:v>Loader/writeback logic is imported by active scripts or tests.</x:v>
      </x:c>
      <x:c r="T362" s="69" t="str">
        <x:v>Preserve lineage, dry-run defaults, and source-truth mutation gates.</x:v>
      </x:c>
      <x:c r="U362" s="69" t="str"/>
      <x:c r="V362" s="69" t="str"/>
      <x:c r="W362" s="69" t="str"/>
      <x:c r="X362" s="72" t="n">
        <x:v>26008</x:v>
      </x:c>
      <x:c r="Y362" s="70" t="b">
        <x:v>1</x:v>
      </x:c>
      <x:c r="Z362" s="69" t="str">
        <x:v>Compatibility required</x:v>
      </x:c>
      <x:c r="AA362" s="69" t="str">
        <x:v>https://github.com/jwild2027/heico-ai-internship-summer-2026/blob/srv/tiff/trace_net_incremental_state_commit_gate_v1.py</x:v>
      </x:c>
      <x:c r="AB362" s="69" t="str">
        <x:v>shared &lt;= string:schema; ingestion &lt;= path:tiff; tables &lt;= symbol:table, string:table; graph &lt;= string:graph; embeddings &lt;= string:qdrant; retrieval &lt;= string:opensearch</x:v>
      </x:c>
    </x:row>
    <x:row r="363">
      <x:c r="A363" s="68" t="n">
        <x:v>362</x:v>
      </x:c>
      <x:c r="B363" s="69" t="str">
        <x:v>tiff/trace_net_it_issue_origin_test_matrix_v1.py</x:v>
      </x:c>
      <x:c r="C363" s="69" t="str">
        <x:v>trace_net_it_issue_origin_test_matrix_v1.py</x:v>
      </x:c>
      <x:c r="D363" s="69" t="str">
        <x:v>ingestion</x:v>
      </x:c>
      <x:c r="E363" s="69" t="str">
        <x:v>benchmarks, visual</x:v>
      </x:c>
      <x:c r="F363" s="69" t="str">
        <x:v>ingestion</x:v>
      </x:c>
      <x:c r="G363" s="69" t="str">
        <x:v>src/trace_net/ingestion/</x:v>
      </x:c>
      <x:c r="H363" s="69" t="str">
        <x:v>src/trace_net/ingestion/trace_net_it_issue_origin_test_matrix_v1.py</x:v>
      </x:c>
      <x:c r="I363" s="69" t="str">
        <x:v>active library module</x:v>
      </x:c>
      <x:c r="J363" s="69" t="str">
        <x:v>MOVE_WITH_IMPORT_UPDATES_AND_COMPATIBILITY_WRAPPER</x:v>
      </x:c>
      <x:c r="K363" s="70" t="b">
        <x:v>1</x:v>
      </x:c>
      <x:c r="L363" s="70" t="b">
        <x:v>0</x:v>
      </x:c>
      <x:c r="M363" s="70" t="b">
        <x:v>1</x:v>
      </x:c>
      <x:c r="N363" s="69" t="n">
        <x:v>4</x:v>
      </x:c>
      <x:c r="O363" s="69" t="n">
        <x:v>0</x:v>
      </x:c>
      <x:c r="P363" s="69" t="str">
        <x:v>scripts/check_trace_net_it_issue_origin_test_matrix_v1_quality.py; scripts/run_trace_net_it_issue_origin_test_matrix_v1.py; tests/unit/test_trace_net_it_issue_origin_test_matrix_v1.py; tests/unit/test_trace_net_it_issue_origin_test_matrix_v1_quality.py</x:v>
      </x:c>
      <x:c r="Q363" s="71" t="n">
        <x:v>0.95</x:v>
      </x:c>
      <x:c r="R363" s="69" t="str">
        <x:v>inventory stage: ingestion</x:v>
      </x:c>
      <x:c r="S363" s="69" t="str">
        <x:v>Primary implementation belongs to the ingestion stage based on filename, imports, and inventory evidence.</x:v>
      </x:c>
      <x:c r="T363" s="69" t="str">
        <x:v>Update imports and retain the old tiff module as a wrapper when callers exist.</x:v>
      </x:c>
      <x:c r="U363" s="69" t="str"/>
      <x:c r="V363" s="69" t="str"/>
      <x:c r="W363" s="69" t="str"/>
      <x:c r="X363" s="72" t="n">
        <x:v>35262</x:v>
      </x:c>
      <x:c r="Y363" s="70" t="b">
        <x:v>1</x:v>
      </x:c>
      <x:c r="Z363" s="69" t="str">
        <x:v>Compatibility required</x:v>
      </x:c>
      <x:c r="AA363" s="69" t="str">
        <x:v>https://github.com/jwild2027/heico-ai-internship-summer-2026/blob/srv/tiff/trace_net_it_issue_origin_test_matrix_v1.py</x:v>
      </x:c>
      <x:c r="AB363" s="69" t="str">
        <x:v>ingestion &lt;= path:tiff, import:tiff, string:ingest; ocr &lt;= string:ocr; visual &lt;= string:callout, string:diagram, string:vision, string:visual; tables &lt;= string:table, string:table_cell, string:table_row; graph &lt;= string:community, string:graph, string:leiden; embeddings &lt;= string:qdrant</x:v>
      </x:c>
    </x:row>
    <x:row r="364">
      <x:c r="A364" s="68" t="n">
        <x:v>363</x:v>
      </x:c>
      <x:c r="B364" s="69" t="str">
        <x:v>tiff/trace_net_it_operations_console_v1.py</x:v>
      </x:c>
      <x:c r="C364" s="69" t="str">
        <x:v>trace_net_it_operations_console_v1.py</x:v>
      </x:c>
      <x:c r="D364" s="69" t="str">
        <x:v>ingestion</x:v>
      </x:c>
      <x:c r="E364" s="69" t="str">
        <x:v>benchmarks</x:v>
      </x:c>
      <x:c r="F364" s="69" t="str">
        <x:v>serving</x:v>
      </x:c>
      <x:c r="G364" s="69" t="str">
        <x:v>src/trace_net/serving/</x:v>
      </x:c>
      <x:c r="H364" s="69" t="str">
        <x:v>src/trace_net/serving/trace_net_it_operations_console_v1.py</x:v>
      </x:c>
      <x:c r="I364" s="69" t="str">
        <x:v>serving/runtime module</x:v>
      </x:c>
      <x:c r="J364" s="69" t="str">
        <x:v>MOVE_WITH_PROTECTED_COMPATIBILITY_WRAPPER</x:v>
      </x:c>
      <x:c r="K364" s="70" t="b">
        <x:v>1</x:v>
      </x:c>
      <x:c r="L364" s="70" t="b">
        <x:v>0</x:v>
      </x:c>
      <x:c r="M364" s="70" t="b">
        <x:v>1</x:v>
      </x:c>
      <x:c r="N364" s="69" t="n">
        <x:v>5</x:v>
      </x:c>
      <x:c r="O364" s="69" t="n">
        <x:v>0</x:v>
      </x:c>
      <x:c r="P364" s="69" t="str">
        <x:v>scripts/build_trace_net_it_operations_console_v1.py; scripts/check_trace_net_it_operations_console_v1_quality.py; tests/unit/test_trace_net_it_operations_console_v1.py; tests/unit/test_trace_net_it_operations_console_v1_quality.py; tiff/trace_net_it_issue_origin_test_matrix_v1.py</x:v>
      </x:c>
      <x:c r="Q364" s="71" t="n">
        <x:v>0.98</x:v>
      </x:c>
      <x:c r="R364" s="69" t="str">
        <x:v>serving/API naming</x:v>
      </x:c>
      <x:c r="S364" s="69" t="str">
        <x:v>API, endpoint, server, bridge, or console implementation used by runtime callers.</x:v>
      </x:c>
      <x:c r="T364" s="69" t="str">
        <x:v>Old entrypoint must remain callable; verify relevant ports and OpenWebUI behavior.</x:v>
      </x:c>
      <x:c r="U364" s="69" t="str"/>
      <x:c r="V364" s="69" t="str"/>
      <x:c r="W364" s="69" t="str"/>
      <x:c r="X364" s="72" t="n">
        <x:v>32149</x:v>
      </x:c>
      <x:c r="Y364" s="70" t="b">
        <x:v>1</x:v>
      </x:c>
      <x:c r="Z364" s="69" t="str">
        <x:v>Compatibility required</x:v>
      </x:c>
      <x:c r="AA364" s="69" t="str">
        <x:v>https://github.com/jwild2027/heico-ai-internship-summer-2026/blob/srv/tiff/trace_net_it_operations_console_v1.py</x:v>
      </x:c>
      <x:c r="AB364" s="69" t="str">
        <x:v>shared &lt;= string:helper, string:schema; ingestion &lt;= path:tiff; ocr &lt;= string:fishnet; visual &lt;= string:visual; tables &lt;= string:table, string:table_cell; graph &lt;= string:community, string:graph, string:leiden</x:v>
      </x:c>
    </x:row>
    <x:row r="365">
      <x:c r="A365" s="68" t="n">
        <x:v>364</x:v>
      </x:c>
      <x:c r="B365" s="69" t="str">
        <x:v>tiff/trace_net_leiden_category_summary_hydrator_v1.py</x:v>
      </x:c>
      <x:c r="C365" s="69" t="str">
        <x:v>trace_net_leiden_category_summary_hydrator_v1.py</x:v>
      </x:c>
      <x:c r="D365" s="69" t="str">
        <x:v>graph</x:v>
      </x:c>
      <x:c r="E365" s="69" t="str">
        <x:v>ingestion</x:v>
      </x:c>
      <x:c r="F365" s="69" t="str">
        <x:v>graph</x:v>
      </x:c>
      <x:c r="G365" s="69" t="str">
        <x:v>src/trace_net/graph/</x:v>
      </x:c>
      <x:c r="H365" s="69" t="str">
        <x:v>src/trace_net/graph/trace_net_leiden_category_summary_hydrator_v1.py</x:v>
      </x:c>
      <x:c r="I365" s="69" t="str">
        <x:v>artifact builder implementation</x:v>
      </x:c>
      <x:c r="J365" s="69" t="str">
        <x:v>MOVE_WITH_IMPORT_UPDATES_AND_COMPATIBILITY_WRAPPER</x:v>
      </x:c>
      <x:c r="K365" s="70" t="b">
        <x:v>1</x:v>
      </x:c>
      <x:c r="L365" s="70" t="b">
        <x:v>0</x:v>
      </x:c>
      <x:c r="M365" s="70" t="b">
        <x:v>1</x:v>
      </x:c>
      <x:c r="N365" s="69" t="n">
        <x:v>5</x:v>
      </x:c>
      <x:c r="O365" s="69" t="n">
        <x:v>0</x:v>
      </x:c>
      <x:c r="P365" s="69" t="str">
        <x:v>scripts/build_trace_net_leiden_category_summary_hydrator_v1.py; scripts/check_trace_net_leiden_category_summary_hydrator_v1_quality.py; tests/unit/test_trace_net_leiden_category_summary_hydrator_v1.py; tests/unit/test_trace_net_leiden_category_summary_hydrator_v1_quality.py; tests/unit/test_trace_net_leiden_category_summary_hydrator_v1_script_imports.py</x:v>
      </x:c>
      <x:c r="Q365" s="71" t="n">
        <x:v>0.96</x:v>
      </x:c>
      <x:c r="R365" s="69" t="str">
        <x:v>graph/Leiden/Postgres naming</x:v>
      </x:c>
      <x:c r="S365" s="69" t="str">
        <x:v>Build implementation is imported by active wrappers/tests and belongs to the graph package.</x:v>
      </x:c>
      <x:c r="T365" s="69" t="str">
        <x:v>Update wrapper imports and compare generated artifact counts/checksums.</x:v>
      </x:c>
      <x:c r="U365" s="69" t="str"/>
      <x:c r="V365" s="69" t="str"/>
      <x:c r="W365" s="69" t="str"/>
      <x:c r="X365" s="72" t="n">
        <x:v>32877</x:v>
      </x:c>
      <x:c r="Y365" s="70" t="b">
        <x:v>1</x:v>
      </x:c>
      <x:c r="Z365" s="69" t="str">
        <x:v>Compatibility required</x:v>
      </x:c>
      <x:c r="AA365" s="69" t="str">
        <x:v>https://github.com/jwild2027/heico-ai-internship-summer-2026/blob/srv/tiff/trace_net_leiden_category_summary_hydrator_v1.py</x:v>
      </x:c>
      <x:c r="AB365" s="69" t="str">
        <x:v>shared &lt;= string:contract, string:dublin_core, string:helper, string:schema; ingestion &lt;= path:tiff, symbol:extract_page; visual &lt;= string:diagram, string:visual; tables &lt;= string:table, string:table_cell, string:table_row; graph &lt;= path:leiden, symbol:community, string:community, string:graph, string:leiden; embeddings &lt;= string:qdrant</x:v>
      </x:c>
    </x:row>
    <x:row r="366">
      <x:c r="A366" s="68" t="n">
        <x:v>365</x:v>
      </x:c>
      <x:c r="B366" s="69" t="str">
        <x:v>tiff/trace_net_leiden_communities.py</x:v>
      </x:c>
      <x:c r="C366" s="69" t="str">
        <x:v>trace_net_leiden_communities.py</x:v>
      </x:c>
      <x:c r="D366" s="69" t="str">
        <x:v>graph</x:v>
      </x:c>
      <x:c r="E366" s="69" t="str"/>
      <x:c r="F366" s="69" t="str">
        <x:v>graph</x:v>
      </x:c>
      <x:c r="G366" s="69" t="str">
        <x:v>src/trace_net/graph/</x:v>
      </x:c>
      <x:c r="H366" s="69" t="str">
        <x:v>src/trace_net/graph/trace_net_leiden_communities.py</x:v>
      </x:c>
      <x:c r="I366" s="69" t="str">
        <x:v>active library module</x:v>
      </x:c>
      <x:c r="J366" s="69" t="str">
        <x:v>MOVE_WITH_IMPORT_UPDATES_AND_COMPATIBILITY_WRAPPER</x:v>
      </x:c>
      <x:c r="K366" s="70" t="b">
        <x:v>1</x:v>
      </x:c>
      <x:c r="L366" s="70" t="b">
        <x:v>0</x:v>
      </x:c>
      <x:c r="M366" s="70" t="b">
        <x:v>1</x:v>
      </x:c>
      <x:c r="N366" s="69" t="n">
        <x:v>2</x:v>
      </x:c>
      <x:c r="O366" s="69" t="n">
        <x:v>0</x:v>
      </x:c>
      <x:c r="P366" s="69" t="str">
        <x:v>scripts/plan_trace_net_leiden_communities.py; tests/unit/test_tiff_trace_net_leiden_communities.py</x:v>
      </x:c>
      <x:c r="Q366" s="71" t="n">
        <x:v>0.95</x:v>
      </x:c>
      <x:c r="R366" s="69" t="str">
        <x:v>graph/Leiden/Postgres naming</x:v>
      </x:c>
      <x:c r="S366" s="69" t="str">
        <x:v>Primary implementation belongs to the graph stage based on filename, imports, and inventory evidence.</x:v>
      </x:c>
      <x:c r="T366" s="69" t="str">
        <x:v>Update imports and retain the old tiff module as a wrapper when callers exist.</x:v>
      </x:c>
      <x:c r="U366" s="69" t="str"/>
      <x:c r="V366" s="69" t="str"/>
      <x:c r="W366" s="69" t="str"/>
      <x:c r="X366" s="72" t="n">
        <x:v>35061</x:v>
      </x:c>
      <x:c r="Y366" s="70" t="b">
        <x:v>1</x:v>
      </x:c>
      <x:c r="Z366" s="69" t="str">
        <x:v>Compatibility required</x:v>
      </x:c>
      <x:c r="AA366" s="69" t="str">
        <x:v>https://github.com/jwild2027/heico-ai-internship-summer-2026/blob/srv/tiff/trace_net_leiden_communities.py</x:v>
      </x:c>
      <x:c r="AB366" s="69" t="str">
        <x:v>ingestion &lt;= path:tiff, string:tiff; ocr &lt;= string:ocr; visual &lt;= string:visual; tables &lt;= symbol:table, string:table; graph &lt;= path:leiden, symbol:community, symbol:graph, symbol:leiden, import:community, import:graph, import:leiden, string:community; context &lt;= string:source_trace</x:v>
      </x:c>
    </x:row>
    <x:row r="367">
      <x:c r="A367" s="68" t="n">
        <x:v>366</x:v>
      </x:c>
      <x:c r="B367" s="69" t="str">
        <x:v>tiff/trace_net_leiden_community_quality_audit_v1.py</x:v>
      </x:c>
      <x:c r="C367" s="69" t="str">
        <x:v>trace_net_leiden_community_quality_audit_v1.py</x:v>
      </x:c>
      <x:c r="D367" s="69" t="str">
        <x:v>graph</x:v>
      </x:c>
      <x:c r="E367" s="69" t="str"/>
      <x:c r="F367" s="69" t="str">
        <x:v>graph</x:v>
      </x:c>
      <x:c r="G367" s="69" t="str">
        <x:v>src/trace_net/graph/quality/</x:v>
      </x:c>
      <x:c r="H367" s="69" t="str">
        <x:v>src/trace_net/graph/quality/trace_net_leiden_community_quality_audit_v1.py</x:v>
      </x:c>
      <x:c r="I367" s="69" t="str">
        <x:v>quality validator module</x:v>
      </x:c>
      <x:c r="J367" s="69" t="str">
        <x:v>MOVE_WITH_IMPORT_UPDATES_AND_COMPATIBILITY_WRAPPER</x:v>
      </x:c>
      <x:c r="K367" s="70" t="b">
        <x:v>1</x:v>
      </x:c>
      <x:c r="L367" s="70" t="b">
        <x:v>0</x:v>
      </x:c>
      <x:c r="M367" s="70" t="b">
        <x:v>1</x:v>
      </x:c>
      <x:c r="N367" s="69" t="n">
        <x:v>4</x:v>
      </x:c>
      <x:c r="O367" s="69" t="n">
        <x:v>0</x:v>
      </x:c>
      <x:c r="P367" s="69" t="str">
        <x:v>scripts/build_trace_net_leiden_community_quality_audit_v1.py; scripts/check_trace_net_leiden_community_quality_audit_v1_quality.py; tests/unit/test_trace_net_leiden_community_quality_audit_v1.py; tests/unit/test_trace_net_leiden_community_quality_audit_v1_quality.py</x:v>
      </x:c>
      <x:c r="Q367" s="71" t="n">
        <x:v>0.97</x:v>
      </x:c>
      <x:c r="R367" s="69" t="str">
        <x:v>graph/Leiden/Postgres naming</x:v>
      </x:c>
      <x:c r="S367" s="69" t="str">
        <x:v>Quality logic is reusable source code for the graph stage.</x:v>
      </x:c>
      <x:c r="T367" s="69" t="str">
        <x:v>Update test and script imports; retain the old tiff import as a thin wrapper until PASS.</x:v>
      </x:c>
      <x:c r="U367" s="69" t="str"/>
      <x:c r="V367" s="69" t="str"/>
      <x:c r="W367" s="69" t="str"/>
      <x:c r="X367" s="72" t="n">
        <x:v>36695</x:v>
      </x:c>
      <x:c r="Y367" s="70" t="b">
        <x:v>1</x:v>
      </x:c>
      <x:c r="Z367" s="69" t="str">
        <x:v>Compatibility required</x:v>
      </x:c>
      <x:c r="AA367" s="69" t="str">
        <x:v>https://github.com/jwild2027/heico-ai-internship-summer-2026/blob/srv/tiff/trace_net_leiden_community_quality_audit_v1.py</x:v>
      </x:c>
      <x:c r="AB367" s="69" t="str">
        <x:v>shared &lt;= string:contract, string:schema; ingestion &lt;= path:tiff; graph &lt;= path:community, path:leiden, symbol:community, symbol:leiden, string:community, string:graph, string:leiden; embeddings &lt;= string:qdrant; retrieval &lt;= string:opensearch, string:retriev; serving &lt;= import:sse</x:v>
      </x:c>
    </x:row>
    <x:row r="368">
      <x:c r="A368" s="68" t="n">
        <x:v>367</x:v>
      </x:c>
      <x:c r="B368" s="69" t="str">
        <x:v>tiff/trace_net_leiden_graph_communities_v1.py</x:v>
      </x:c>
      <x:c r="C368" s="69" t="str">
        <x:v>trace_net_leiden_graph_communities_v1.py</x:v>
      </x:c>
      <x:c r="D368" s="69" t="str">
        <x:v>graph</x:v>
      </x:c>
      <x:c r="E368" s="69" t="str"/>
      <x:c r="F368" s="69" t="str">
        <x:v>graph</x:v>
      </x:c>
      <x:c r="G368" s="69" t="str">
        <x:v>src/trace_net/graph/</x:v>
      </x:c>
      <x:c r="H368" s="69" t="str">
        <x:v>src/trace_net/graph/trace_net_leiden_graph_communities_v1.py</x:v>
      </x:c>
      <x:c r="I368" s="69" t="str">
        <x:v>active library module</x:v>
      </x:c>
      <x:c r="J368" s="69" t="str">
        <x:v>MOVE_WITH_IMPORT_UPDATES_AND_COMPATIBILITY_WRAPPER</x:v>
      </x:c>
      <x:c r="K368" s="70" t="b">
        <x:v>1</x:v>
      </x:c>
      <x:c r="L368" s="70" t="b">
        <x:v>0</x:v>
      </x:c>
      <x:c r="M368" s="70" t="b">
        <x:v>1</x:v>
      </x:c>
      <x:c r="N368" s="69" t="n">
        <x:v>4</x:v>
      </x:c>
      <x:c r="O368" s="69" t="n">
        <x:v>0</x:v>
      </x:c>
      <x:c r="P368" s="69" t="str">
        <x:v>scripts/build_trace_net_leiden_graph_communities_v1.py; scripts/check_trace_net_leiden_graph_communities_v1_quality.py; tests/unit/test_trace_net_leiden_graph_communities_v1.py; tests/unit/test_trace_net_leiden_graph_communities_v1_quality.py</x:v>
      </x:c>
      <x:c r="Q368" s="71" t="n">
        <x:v>0.95</x:v>
      </x:c>
      <x:c r="R368" s="69" t="str">
        <x:v>graph/Leiden/Postgres naming</x:v>
      </x:c>
      <x:c r="S368" s="69" t="str">
        <x:v>Primary implementation belongs to the graph stage based on filename, imports, and inventory evidence.</x:v>
      </x:c>
      <x:c r="T368" s="69" t="str">
        <x:v>Update imports and retain the old tiff module as a wrapper when callers exist.</x:v>
      </x:c>
      <x:c r="U368" s="69" t="str"/>
      <x:c r="V368" s="69" t="str"/>
      <x:c r="W368" s="69" t="str"/>
      <x:c r="X368" s="72" t="n">
        <x:v>34014</x:v>
      </x:c>
      <x:c r="Y368" s="70" t="b">
        <x:v>1</x:v>
      </x:c>
      <x:c r="Z368" s="69" t="str">
        <x:v>Compatibility required</x:v>
      </x:c>
      <x:c r="AA368" s="69" t="str">
        <x:v>https://github.com/jwild2027/heico-ai-internship-summer-2026/blob/srv/tiff/trace_net_leiden_graph_communities_v1.py</x:v>
      </x:c>
      <x:c r="AB368" s="69" t="str">
        <x:v>shared &lt;= string:helper, string:schema; ingestion &lt;= path:tiff; ocr &lt;= string:fishnet; visual &lt;= string:callout, string:visual, string:visual_region, string:visual_understanding; tables &lt;= symbol:table, string:table, string:table_cell, string:table_element, string:table_row; graph &lt;= path:graph, path:leiden, symbol:community, symbol:graph, symbol:leiden, import:graph, import:leiden, string:community</x:v>
      </x:c>
    </x:row>
    <x:row r="369">
      <x:c r="A369" s="68" t="n">
        <x:v>368</x:v>
      </x:c>
      <x:c r="B369" s="69" t="str">
        <x:v>tiff/trace_net_leiden_navigation_metadata_bridge_v1.py</x:v>
      </x:c>
      <x:c r="C369" s="69" t="str">
        <x:v>trace_net_leiden_navigation_metadata_bridge_v1.py</x:v>
      </x:c>
      <x:c r="D369" s="69" t="str">
        <x:v>graph</x:v>
      </x:c>
      <x:c r="E369" s="69" t="str">
        <x:v>serving</x:v>
      </x:c>
      <x:c r="F369" s="69" t="str">
        <x:v>graph</x:v>
      </x:c>
      <x:c r="G369" s="69" t="str">
        <x:v>src/trace_net/graph/</x:v>
      </x:c>
      <x:c r="H369" s="69" t="str">
        <x:v>src/trace_net/graph/trace_net_leiden_navigation_metadata_bridge_v1.py</x:v>
      </x:c>
      <x:c r="I369" s="69" t="str">
        <x:v>integration bridge module</x:v>
      </x:c>
      <x:c r="J369" s="69" t="str">
        <x:v>MOVE_WITH_IMPORT_UPDATES_AND_COMPATIBILITY_WRAPPER</x:v>
      </x:c>
      <x:c r="K369" s="70" t="b">
        <x:v>1</x:v>
      </x:c>
      <x:c r="L369" s="70" t="b">
        <x:v>0</x:v>
      </x:c>
      <x:c r="M369" s="70" t="b">
        <x:v>1</x:v>
      </x:c>
      <x:c r="N369" s="69" t="n">
        <x:v>5</x:v>
      </x:c>
      <x:c r="O369" s="69" t="n">
        <x:v>0</x:v>
      </x:c>
      <x:c r="P369" s="69" t="str">
        <x:v>scripts/build_trace_net_leiden_navigation_metadata_bridge_v1.py; scripts/check_trace_net_leiden_navigation_metadata_bridge_v1_quality.py; tests/unit/test_trace_net_leiden_navigation_metadata_bridge_v1.py; tests/unit/test_trace_net_leiden_navigation_metadata_bridge_v1_quality.py; tests/unit/test_trace_net_leiden_navigation_metadata_bridge_v1_script_imports.py</x:v>
      </x:c>
      <x:c r="Q369" s="71" t="n">
        <x:v>0.95</x:v>
      </x:c>
      <x:c r="R369" s="69" t="str">
        <x:v>graph/Leiden/Postgres naming</x:v>
      </x:c>
      <x:c r="S369" s="69" t="str">
        <x:v>Bridge connects the graph stage to another TRACE-Net component.</x:v>
      </x:c>
      <x:c r="T369" s="69" t="str">
        <x:v>Update both producer and consumer imports; keep old bridge module as wrapper.</x:v>
      </x:c>
      <x:c r="U369" s="69" t="str"/>
      <x:c r="V369" s="69" t="str"/>
      <x:c r="W369" s="69" t="str"/>
      <x:c r="X369" s="72" t="n">
        <x:v>28016</x:v>
      </x:c>
      <x:c r="Y369" s="70" t="b">
        <x:v>1</x:v>
      </x:c>
      <x:c r="Z369" s="69" t="str">
        <x:v>Compatibility required</x:v>
      </x:c>
      <x:c r="AA369" s="69" t="str">
        <x:v>https://github.com/jwild2027/heico-ai-internship-summer-2026/blob/srv/tiff/trace_net_leiden_navigation_metadata_bridge_v1.py</x:v>
      </x:c>
      <x:c r="AB369" s="69" t="str">
        <x:v>shared &lt;= string:schema; ingestion &lt;= path:tiff; visual &lt;= string:visual; tables &lt;= string:table; graph &lt;= path:leiden, symbol:community, string:community, string:graph, string:leiden; embeddings &lt;= string:qdrant</x:v>
      </x:c>
    </x:row>
    <x:row r="370">
      <x:c r="A370" s="68" t="n">
        <x:v>369</x:v>
      </x:c>
      <x:c r="B370" s="69" t="str">
        <x:v>tiff/trace_net_leiden_quality.py</x:v>
      </x:c>
      <x:c r="C370" s="69" t="str">
        <x:v>trace_net_leiden_quality.py</x:v>
      </x:c>
      <x:c r="D370" s="69" t="str">
        <x:v>graph</x:v>
      </x:c>
      <x:c r="E370" s="69" t="str">
        <x:v>ingestion</x:v>
      </x:c>
      <x:c r="F370" s="69" t="str">
        <x:v>graph</x:v>
      </x:c>
      <x:c r="G370" s="69" t="str">
        <x:v>src/trace_net/graph/quality/</x:v>
      </x:c>
      <x:c r="H370" s="69" t="str">
        <x:v>src/trace_net/graph/quality/trace_net_leiden_quality.py</x:v>
      </x:c>
      <x:c r="I370" s="69" t="str">
        <x:v>quality validator module</x:v>
      </x:c>
      <x:c r="J370" s="69" t="str">
        <x:v>MOVE_WITH_IMPORT_UPDATES_AND_COMPATIBILITY_WRAPPER</x:v>
      </x:c>
      <x:c r="K370" s="70" t="b">
        <x:v>1</x:v>
      </x:c>
      <x:c r="L370" s="70" t="b">
        <x:v>0</x:v>
      </x:c>
      <x:c r="M370" s="70" t="b">
        <x:v>1</x:v>
      </x:c>
      <x:c r="N370" s="69" t="n">
        <x:v>2</x:v>
      </x:c>
      <x:c r="O370" s="69" t="n">
        <x:v>0</x:v>
      </x:c>
      <x:c r="P370" s="69" t="str">
        <x:v>scripts/check_trace_net_leiden_quality.py; tests/unit/test_tiff_trace_net_leiden_quality.py</x:v>
      </x:c>
      <x:c r="Q370" s="71" t="n">
        <x:v>0.97</x:v>
      </x:c>
      <x:c r="R370" s="69" t="str">
        <x:v>graph/Leiden/Postgres naming</x:v>
      </x:c>
      <x:c r="S370" s="69" t="str">
        <x:v>Quality logic is reusable source code for the graph stage.</x:v>
      </x:c>
      <x:c r="T370" s="69" t="str">
        <x:v>Update test and script imports; retain the old tiff import as a thin wrapper until PASS.</x:v>
      </x:c>
      <x:c r="U370" s="69" t="str"/>
      <x:c r="V370" s="69" t="str"/>
      <x:c r="W370" s="69" t="str"/>
      <x:c r="X370" s="72" t="n">
        <x:v>8023</x:v>
      </x:c>
      <x:c r="Y370" s="70" t="b">
        <x:v>1</x:v>
      </x:c>
      <x:c r="Z370" s="69" t="str">
        <x:v>Compatibility required</x:v>
      </x:c>
      <x:c r="AA370" s="69" t="str">
        <x:v>https://github.com/jwild2027/heico-ai-internship-summer-2026/blob/srv/tiff/trace_net_leiden_quality.py</x:v>
      </x:c>
      <x:c r="AB370" s="69" t="str">
        <x:v>ingestion &lt;= path:tiff; graph &lt;= path:leiden, symbol:graph, symbol:leiden, string:community, string:graph, string:leiden; serving &lt;= import:sse; referenced_by_count=1; imported_by_count=2</x:v>
      </x:c>
    </x:row>
    <x:row r="371">
      <x:c r="A371" s="68" t="n">
        <x:v>370</x:v>
      </x:c>
      <x:c r="B371" s="69" t="str">
        <x:v>tiff/trace_net_leiden_representative_label_tightening_v1.py</x:v>
      </x:c>
      <x:c r="C371" s="69" t="str">
        <x:v>trace_net_leiden_representative_label_tightening_v1.py</x:v>
      </x:c>
      <x:c r="D371" s="69" t="str">
        <x:v>graph</x:v>
      </x:c>
      <x:c r="E371" s="69" t="str">
        <x:v>ingestion, benchmarks, shared</x:v>
      </x:c>
      <x:c r="F371" s="69" t="str">
        <x:v>graph</x:v>
      </x:c>
      <x:c r="G371" s="69" t="str">
        <x:v>src/trace_net/graph/</x:v>
      </x:c>
      <x:c r="H371" s="69" t="str">
        <x:v>src/trace_net/graph/trace_net_leiden_representative_label_tightening_v1.py</x:v>
      </x:c>
      <x:c r="I371" s="69" t="str">
        <x:v>active library module</x:v>
      </x:c>
      <x:c r="J371" s="69" t="str">
        <x:v>MOVE_WITH_IMPORT_UPDATES_AND_COMPATIBILITY_WRAPPER</x:v>
      </x:c>
      <x:c r="K371" s="70" t="b">
        <x:v>1</x:v>
      </x:c>
      <x:c r="L371" s="70" t="b">
        <x:v>0</x:v>
      </x:c>
      <x:c r="M371" s="70" t="b">
        <x:v>1</x:v>
      </x:c>
      <x:c r="N371" s="69" t="n">
        <x:v>5</x:v>
      </x:c>
      <x:c r="O371" s="69" t="n">
        <x:v>0</x:v>
      </x:c>
      <x:c r="P371" s="69" t="str">
        <x:v>scripts/build_trace_net_leiden_representative_label_tightening_v1.py; scripts/check_trace_net_leiden_representative_label_tightening_v1_quality.py; tests/unit/test_trace_net_leiden_representative_label_tightening_v1.py; tests/unit/test_trace_net_leiden_representative_label_tightening_v1_quality.py; tests/unit/test_trace_net_leiden_representative_label_tightening_v1_script_imports.py</x:v>
      </x:c>
      <x:c r="Q371" s="71" t="n">
        <x:v>0.95</x:v>
      </x:c>
      <x:c r="R371" s="69" t="str">
        <x:v>graph/Leiden/Postgres naming</x:v>
      </x:c>
      <x:c r="S371" s="69" t="str">
        <x:v>Primary implementation belongs to the graph stage based on filename, imports, and inventory evidence.</x:v>
      </x:c>
      <x:c r="T371" s="69" t="str">
        <x:v>Update imports and retain the old tiff module as a wrapper when callers exist.</x:v>
      </x:c>
      <x:c r="U371" s="69" t="str"/>
      <x:c r="V371" s="69" t="str"/>
      <x:c r="W371" s="69" t="str"/>
      <x:c r="X371" s="72" t="n">
        <x:v>27350</x:v>
      </x:c>
      <x:c r="Y371" s="70" t="b">
        <x:v>1</x:v>
      </x:c>
      <x:c r="Z371" s="69" t="str">
        <x:v>Compatibility required</x:v>
      </x:c>
      <x:c r="AA371" s="69" t="str">
        <x:v>https://github.com/jwild2027/heico-ai-internship-summer-2026/blob/srv/tiff/trace_net_leiden_representative_label_tightening_v1.py</x:v>
      </x:c>
      <x:c r="AB371" s="69" t="str">
        <x:v>shared &lt;= symbol:common, string:contract, string:dublin_core, string:helper, string:schema; ingestion &lt;= path:tiff, symbol:extract_page, string:convert; visual &lt;= string:visual; tables &lt;= string:table; graph &lt;= path:leiden, string:community, string:leiden; embeddings &lt;= string:qdrant</x:v>
      </x:c>
    </x:row>
    <x:row r="372">
      <x:c r="A372" s="68" t="n">
        <x:v>371</x:v>
      </x:c>
      <x:c r="B372" s="69" t="str">
        <x:v>tiff/trace_net_llava_visual_summary_batch_v1.py</x:v>
      </x:c>
      <x:c r="C372" s="69" t="str">
        <x:v>trace_net_llava_visual_summary_batch_v1.py</x:v>
      </x:c>
      <x:c r="D372" s="69" t="str">
        <x:v>visual</x:v>
      </x:c>
      <x:c r="E372" s="69" t="str">
        <x:v>ingestion</x:v>
      </x:c>
      <x:c r="F372" s="69" t="str">
        <x:v>visual</x:v>
      </x:c>
      <x:c r="G372" s="69" t="str">
        <x:v>src/trace_net/visual/</x:v>
      </x:c>
      <x:c r="H372" s="69" t="str">
        <x:v>src/trace_net/visual/trace_net_llava_visual_summary_batch_v1.py</x:v>
      </x:c>
      <x:c r="I372" s="69" t="str">
        <x:v>active library module</x:v>
      </x:c>
      <x:c r="J372" s="69" t="str">
        <x:v>MOVE_WITH_PROTECTED_COMPATIBILITY_WRAPPER</x:v>
      </x:c>
      <x:c r="K372" s="70" t="b">
        <x:v>1</x:v>
      </x:c>
      <x:c r="L372" s="70" t="b">
        <x:v>1</x:v>
      </x:c>
      <x:c r="M372" s="70" t="b">
        <x:v>1</x:v>
      </x:c>
      <x:c r="N372" s="69" t="n">
        <x:v>2</x:v>
      </x:c>
      <x:c r="O372" s="69" t="n">
        <x:v>0</x:v>
      </x:c>
      <x:c r="P372" s="69" t="str">
        <x:v>scripts/build_trace_net_llava_visual_summary_batch_v1.py; tests/unit/test_trace_net_llava_visual_summary_batch_and_linker_v1.py</x:v>
      </x:c>
      <x:c r="Q372" s="71" t="n">
        <x:v>0.95</x:v>
      </x:c>
      <x:c r="R372" s="69" t="str">
        <x:v>visual/image/vision naming</x:v>
      </x:c>
      <x:c r="S372" s="69" t="str">
        <x:v>Primary implementation belongs to the visual stage based on filename, imports, and inventory evidence.</x:v>
      </x:c>
      <x:c r="T372" s="69" t="str">
        <x:v>Update imports and retain the old tiff module as a wrapper when callers exist.</x:v>
      </x:c>
      <x:c r="U372" s="69" t="str">
        <x:v>11434</x:v>
      </x:c>
      <x:c r="V372" s="69" t="str">
        <x:v>TRACE_NET_LLAVA_VISUAL_SUMMARY_BATCH_BUILT</x:v>
      </x:c>
      <x:c r="W372" s="69" t="str"/>
      <x:c r="X372" s="72" t="n">
        <x:v>31068</x:v>
      </x:c>
      <x:c r="Y372" s="70" t="b">
        <x:v>1</x:v>
      </x:c>
      <x:c r="Z372" s="69" t="str">
        <x:v>Protected runtime</x:v>
      </x:c>
      <x:c r="AA372" s="69" t="str">
        <x:v>https://github.com/jwild2027/heico-ai-internship-summer-2026/blob/srv/tiff/trace_net_llava_visual_summary_batch_v1.py</x:v>
      </x:c>
      <x:c r="AB372" s="69" t="str">
        <x:v>shared &lt;= string:contract; ingestion &lt;= path:tiff, symbol:convert, string:convert, string:tiff; ocr &lt;= string:ocr; visual &lt;= path:llava, path:visual, symbol:llava, symbol:visual, string:callout, string:diagram, string:llava, string:visual; embeddings &lt;= string:qdrant; retrieval &lt;= string:opensearch</x:v>
      </x:c>
    </x:row>
    <x:row r="373">
      <x:c r="A373" s="68" t="n">
        <x:v>372</x:v>
      </x:c>
      <x:c r="B373" s="69" t="str">
        <x:v>tiff/trace_net_llava_visual_summary_batch_v1_check.py</x:v>
      </x:c>
      <x:c r="C373" s="69" t="str">
        <x:v>trace_net_llava_visual_summary_batch_v1_check.py</x:v>
      </x:c>
      <x:c r="D373" s="69" t="str">
        <x:v>visual</x:v>
      </x:c>
      <x:c r="E373" s="69" t="str"/>
      <x:c r="F373" s="69" t="str">
        <x:v>visual</x:v>
      </x:c>
      <x:c r="G373" s="69" t="str">
        <x:v>src/trace_net/visual/</x:v>
      </x:c>
      <x:c r="H373" s="69" t="str">
        <x:v>src/trace_net/visual/trace_net_llava_visual_summary_batch_v1_check.py</x:v>
      </x:c>
      <x:c r="I373" s="69" t="str">
        <x:v>verification implementation module</x:v>
      </x:c>
      <x:c r="J373" s="69" t="str">
        <x:v>MOVE_WITH_IMPORT_UPDATES_AND_COMPATIBILITY_WRAPPER</x:v>
      </x:c>
      <x:c r="K373" s="70" t="b">
        <x:v>1</x:v>
      </x:c>
      <x:c r="L373" s="70" t="b">
        <x:v>0</x:v>
      </x:c>
      <x:c r="M373" s="70" t="b">
        <x:v>1</x:v>
      </x:c>
      <x:c r="N373" s="69" t="n">
        <x:v>2</x:v>
      </x:c>
      <x:c r="O373" s="69" t="n">
        <x:v>0</x:v>
      </x:c>
      <x:c r="P373" s="69" t="str">
        <x:v>scripts/check_trace_net_llava_visual_summary_batch_v1.py; tests/unit/test_trace_net_llava_visual_summary_batch_and_linker_v1.py</x:v>
      </x:c>
      <x:c r="Q373" s="71" t="n">
        <x:v>0.96</x:v>
      </x:c>
      <x:c r="R373" s="69" t="str">
        <x:v>visual/image/vision naming</x:v>
      </x:c>
      <x:c r="S373" s="69" t="str">
        <x:v>Check implementation is imported by active scripts/tests and belongs with visual code.</x:v>
      </x:c>
      <x:c r="T373" s="69" t="str">
        <x:v>Update check wrapper imports and preserve old tiff path until the check passes.</x:v>
      </x:c>
      <x:c r="U373" s="69" t="str"/>
      <x:c r="V373" s="69" t="str">
        <x:v>TRACE_NET_LLAVA_VISUAL_SUMMARY_BATCH_BUILT</x:v>
      </x:c>
      <x:c r="W373" s="69" t="str"/>
      <x:c r="X373" s="72" t="n">
        <x:v>6921</x:v>
      </x:c>
      <x:c r="Y373" s="70" t="b">
        <x:v>1</x:v>
      </x:c>
      <x:c r="Z373" s="69" t="str">
        <x:v>Compatibility required</x:v>
      </x:c>
      <x:c r="AA373" s="69" t="str">
        <x:v>https://github.com/jwild2027/heico-ai-internship-summer-2026/blob/srv/tiff/trace_net_llava_visual_summary_batch_v1_check.py</x:v>
      </x:c>
      <x:c r="AB373" s="69" t="str">
        <x:v>shared &lt;= string:contract; ingestion &lt;= path:tiff; visual &lt;= path:llava, path:visual, string:callout, string:llava, string:visual, environment:llava, environment:visual; embeddings &lt;= string:qdrant; retrieval &lt;= string:opensearch; context &lt;= string:source_trace</x:v>
      </x:c>
    </x:row>
    <x:row r="374">
      <x:c r="A374" s="68" t="n">
        <x:v>373</x:v>
      </x:c>
      <x:c r="B374" s="69" t="str">
        <x:v>tiff/trace_net_llm_graph_path_compliance_judge_v1.py</x:v>
      </x:c>
      <x:c r="C374" s="69" t="str">
        <x:v>trace_net_llm_graph_path_compliance_judge_v1.py</x:v>
      </x:c>
      <x:c r="D374" s="69" t="str">
        <x:v>graph</x:v>
      </x:c>
      <x:c r="E374" s="69" t="str">
        <x:v>benchmarks, shared, ingestion, serving</x:v>
      </x:c>
      <x:c r="F374" s="69" t="str">
        <x:v>validation</x:v>
      </x:c>
      <x:c r="G374" s="69" t="str">
        <x:v>src/trace_net/validation/</x:v>
      </x:c>
      <x:c r="H374" s="69" t="str">
        <x:v>src/trace_net/validation/trace_net_llm_graph_path_compliance_judge_v1.py</x:v>
      </x:c>
      <x:c r="I374" s="69" t="str">
        <x:v>runtime validation/gating module</x:v>
      </x:c>
      <x:c r="J374" s="69" t="str">
        <x:v>MOVE_WITH_IMPORT_UPDATES_AND_COMPATIBILITY_WRAPPER</x:v>
      </x:c>
      <x:c r="K374" s="70" t="b">
        <x:v>1</x:v>
      </x:c>
      <x:c r="L374" s="70" t="b">
        <x:v>1</x:v>
      </x:c>
      <x:c r="M374" s="70" t="b">
        <x:v>1</x:v>
      </x:c>
      <x:c r="N374" s="69" t="n">
        <x:v>4</x:v>
      </x:c>
      <x:c r="O374" s="69" t="n">
        <x:v>0</x:v>
      </x:c>
      <x:c r="P374" s="69" t="str">
        <x:v>scripts/build_trace_net_llm_graph_path_compliance_judge_v1.py; scripts/check_trace_net_llm_graph_path_compliance_judge_v1_quality.py; tests/unit/test_trace_net_llm_graph_path_compliance_judge_v1.py; tests/unit/test_trace_net_llm_graph_path_compliance_judge_v1_quality.py</x:v>
      </x:c>
      <x:c r="Q374" s="71" t="n">
        <x:v>0.96</x:v>
      </x:c>
      <x:c r="R374" s="69" t="str">
        <x:v>cross-cutting validation/reliability</x:v>
      </x:c>
      <x:c r="S374" s="69" t="str">
        <x:v>Implements a runtime gate, critic, hardener, or evidence sufficiency check.</x:v>
      </x:c>
      <x:c r="T374" s="69" t="str">
        <x:v>Preserve gating semantics and old import path until focused tests pass.</x:v>
      </x:c>
      <x:c r="U374" s="69" t="str">
        <x:v>8192, 11434</x:v>
      </x:c>
      <x:c r="V374" s="69" t="str"/>
      <x:c r="W374" s="69" t="str"/>
      <x:c r="X374" s="72" t="n">
        <x:v>46452</x:v>
      </x:c>
      <x:c r="Y374" s="70" t="b">
        <x:v>1</x:v>
      </x:c>
      <x:c r="Z374" s="69" t="str">
        <x:v>Protected runtime</x:v>
      </x:c>
      <x:c r="AA374" s="69" t="str">
        <x:v>https://github.com/jwild2027/heico-ai-internship-summer-2026/blob/srv/tiff/trace_net_llm_graph_path_compliance_judge_v1.py</x:v>
      </x:c>
      <x:c r="AB374" s="69" t="str">
        <x:v>shared &lt;= symbol:common, string:contract, string:schema, string:source_id; ingestion &lt;= path:tiff, string:tiff; tables &lt;= symbol:table; graph &lt;= path:graph, string:community, string:graph, string:leiden; embeddings &lt;= string:qdrant; retrieval &lt;= string:opensearch, string:retriev</x:v>
      </x:c>
    </x:row>
    <x:row r="375">
      <x:c r="A375" s="68" t="n">
        <x:v>374</x:v>
      </x:c>
      <x:c r="B375" s="69" t="str">
        <x:v>tiff/trace_net_llm_graph_path_response_guard_v1.py</x:v>
      </x:c>
      <x:c r="C375" s="69" t="str">
        <x:v>trace_net_llm_graph_path_response_guard_v1.py</x:v>
      </x:c>
      <x:c r="D375" s="69" t="str">
        <x:v>graph</x:v>
      </x:c>
      <x:c r="E375" s="69" t="str">
        <x:v>benchmarks, shared, ingestion, serving</x:v>
      </x:c>
      <x:c r="F375" s="69" t="str">
        <x:v>validation</x:v>
      </x:c>
      <x:c r="G375" s="69" t="str">
        <x:v>src/trace_net/validation/</x:v>
      </x:c>
      <x:c r="H375" s="69" t="str">
        <x:v>src/trace_net/validation/trace_net_llm_graph_path_response_guard_v1.py</x:v>
      </x:c>
      <x:c r="I375" s="69" t="str">
        <x:v>runtime validation/gating module</x:v>
      </x:c>
      <x:c r="J375" s="69" t="str">
        <x:v>MOVE_WITH_IMPORT_UPDATES_AND_COMPATIBILITY_WRAPPER</x:v>
      </x:c>
      <x:c r="K375" s="70" t="b">
        <x:v>1</x:v>
      </x:c>
      <x:c r="L375" s="70" t="b">
        <x:v>1</x:v>
      </x:c>
      <x:c r="M375" s="70" t="b">
        <x:v>1</x:v>
      </x:c>
      <x:c r="N375" s="69" t="n">
        <x:v>4</x:v>
      </x:c>
      <x:c r="O375" s="69" t="n">
        <x:v>0</x:v>
      </x:c>
      <x:c r="P375" s="69" t="str">
        <x:v>scripts/build_trace_net_llm_graph_path_response_guard_v1.py; scripts/check_trace_net_llm_graph_path_response_guard_v1_quality.py; tests/unit/test_trace_net_llm_graph_path_response_guard_v1.py; tests/unit/test_trace_net_llm_graph_path_response_guard_v1_quality.py</x:v>
      </x:c>
      <x:c r="Q375" s="71" t="n">
        <x:v>0.96</x:v>
      </x:c>
      <x:c r="R375" s="69" t="str">
        <x:v>cross-cutting validation/reliability</x:v>
      </x:c>
      <x:c r="S375" s="69" t="str">
        <x:v>Implements a runtime gate, critic, hardener, or evidence sufficiency check.</x:v>
      </x:c>
      <x:c r="T375" s="69" t="str">
        <x:v>Preserve gating semantics and old import path until focused tests pass.</x:v>
      </x:c>
      <x:c r="U375" s="69" t="str">
        <x:v>11434</x:v>
      </x:c>
      <x:c r="V375" s="69" t="str"/>
      <x:c r="W375" s="69" t="str"/>
      <x:c r="X375" s="72" t="n">
        <x:v>37589</x:v>
      </x:c>
      <x:c r="Y375" s="70" t="b">
        <x:v>1</x:v>
      </x:c>
      <x:c r="Z375" s="69" t="str">
        <x:v>Protected runtime</x:v>
      </x:c>
      <x:c r="AA375" s="69" t="str">
        <x:v>https://github.com/jwild2027/heico-ai-internship-summer-2026/blob/srv/tiff/trace_net_llm_graph_path_response_guard_v1.py</x:v>
      </x:c>
      <x:c r="AB375" s="69" t="str">
        <x:v>shared &lt;= symbol:common, string:schema, string:source_id; ingestion &lt;= path:tiff; graph &lt;= path:graph, string:community, string:graph, string:leiden; embeddings &lt;= string:qdrant; retrieval &lt;= string:opensearch, string:retriev; context &lt;= string:page_context</x:v>
      </x:c>
    </x:row>
    <x:row r="376">
      <x:c r="A376" s="68" t="n">
        <x:v>375</x:v>
      </x:c>
      <x:c r="B376" s="69" t="str">
        <x:v>tiff/trace_net_loader_contract_audit_v1.py</x:v>
      </x:c>
      <x:c r="C376" s="69" t="str">
        <x:v>trace_net_loader_contract_audit_v1.py</x:v>
      </x:c>
      <x:c r="D376" s="69" t="str">
        <x:v>shared</x:v>
      </x:c>
      <x:c r="E376" s="69" t="str">
        <x:v>operations, ingestion</x:v>
      </x:c>
      <x:c r="F376" s="69" t="str">
        <x:v>core</x:v>
      </x:c>
      <x:c r="G376" s="69" t="str">
        <x:v>src/trace_net/core/</x:v>
      </x:c>
      <x:c r="H376" s="69" t="str">
        <x:v>src/trace_net/core/trace_net_loader_contract_audit_v1.py</x:v>
      </x:c>
      <x:c r="I376" s="69" t="str">
        <x:v>data/storage integration module</x:v>
      </x:c>
      <x:c r="J376" s="69" t="str">
        <x:v>MOVE_WITH_IMPORT_UPDATES_AND_COMPATIBILITY_WRAPPER</x:v>
      </x:c>
      <x:c r="K376" s="70" t="b">
        <x:v>1</x:v>
      </x:c>
      <x:c r="L376" s="70" t="b">
        <x:v>0</x:v>
      </x:c>
      <x:c r="M376" s="70" t="b">
        <x:v>1</x:v>
      </x:c>
      <x:c r="N376" s="69" t="n">
        <x:v>5</x:v>
      </x:c>
      <x:c r="O376" s="69" t="n">
        <x:v>0</x:v>
      </x:c>
      <x:c r="P376" s="69" t="str">
        <x:v>scripts/build_trace_net_loader_contract_audit_v1.py; scripts/check_trace_net_loader_contract_audit_v1_quality.py; tests/unit/test_trace_net_loader_contract_audit_v1.py; tests/unit/test_trace_net_loader_contract_audit_v1_quality.py; tests/unit/test_trace_net_loader_contract_audit_v1_target_plan_join.py</x:v>
      </x:c>
      <x:c r="Q376" s="71" t="n">
        <x:v>0.95</x:v>
      </x:c>
      <x:c r="R376" s="69" t="str">
        <x:v>inventory stage: shared</x:v>
      </x:c>
      <x:c r="S376" s="69" t="str">
        <x:v>Loader/writeback logic is imported by active scripts or tests.</x:v>
      </x:c>
      <x:c r="T376" s="69" t="str">
        <x:v>Preserve lineage, dry-run defaults, and source-truth mutation gates.</x:v>
      </x:c>
      <x:c r="U376" s="69" t="str"/>
      <x:c r="V376" s="69" t="str">
        <x:v>TRACE_NET_LOADER_CONTRACT_AUDIT_BUILT</x:v>
      </x:c>
      <x:c r="W376" s="69" t="str"/>
      <x:c r="X376" s="72" t="n">
        <x:v>29498</x:v>
      </x:c>
      <x:c r="Y376" s="70" t="b">
        <x:v>1</x:v>
      </x:c>
      <x:c r="Z376" s="69" t="str">
        <x:v>Compatibility required</x:v>
      </x:c>
      <x:c r="AA376" s="69" t="str">
        <x:v>https://github.com/jwild2027/heico-ai-internship-summer-2026/blob/srv/tiff/trace_net_loader_contract_audit_v1.py</x:v>
      </x:c>
      <x:c r="AB376" s="69" t="str">
        <x:v>shared &lt;= path:contract, symbol:contract, string:contract, environment:contract; ingestion &lt;= path:tiff, symbol:tiff, string:scan_pack, string:tiff; ocr &lt;= string:ocr; tables &lt;= string:table; graph &lt;= string:graph; embeddings &lt;= string:embedding, string:qdrant</x:v>
      </x:c>
    </x:row>
    <x:row r="377">
      <x:c r="A377" s="68" t="n">
        <x:v>376</x:v>
      </x:c>
      <x:c r="B377" s="69" t="str">
        <x:v>tiff/trace_net_nha_engram_v1.py</x:v>
      </x:c>
      <x:c r="C377" s="69" t="str">
        <x:v>trace_net_nha_engram_v1.py</x:v>
      </x:c>
      <x:c r="D377" s="69" t="str">
        <x:v>brain_engram</x:v>
      </x:c>
      <x:c r="E377" s="69" t="str">
        <x:v>graph, benchmarks</x:v>
      </x:c>
      <x:c r="F377" s="69" t="str">
        <x:v>engram</x:v>
      </x:c>
      <x:c r="G377" s="69" t="str">
        <x:v>src/trace_net/engram/</x:v>
      </x:c>
      <x:c r="H377" s="69" t="str">
        <x:v>src/trace_net/engram/trace_net_nha_engram_v1.py</x:v>
      </x:c>
      <x:c r="I377" s="69" t="str">
        <x:v>active library module</x:v>
      </x:c>
      <x:c r="J377" s="69" t="str">
        <x:v>MOVE_WITH_IMPORT_UPDATES_AND_COMPATIBILITY_WRAPPER</x:v>
      </x:c>
      <x:c r="K377" s="70" t="b">
        <x:v>1</x:v>
      </x:c>
      <x:c r="L377" s="70" t="b">
        <x:v>0</x:v>
      </x:c>
      <x:c r="M377" s="70" t="b">
        <x:v>1</x:v>
      </x:c>
      <x:c r="N377" s="69" t="n">
        <x:v>7</x:v>
      </x:c>
      <x:c r="O377" s="69" t="n">
        <x:v>0</x:v>
      </x:c>
      <x:c r="P377" s="69" t="str">
        <x:v>scripts/build_trace_net_nha_engram_v1.py; scripts/check_trace_net_nha_engram_v1.py; scripts/run_trace_net_nha_engram_100_question_benchmark_v1.py; scripts/trace_net_nha_phase14_16_cognitive_v1.py; scripts/trace_net_nha_phase20_gemma100_v1.py; tests/unit/test_trace_net_nha_engram_v1.py; tests/unit/test_trace_net_nha_phase20_gemma100_v1.py</x:v>
      </x:c>
      <x:c r="Q377" s="71" t="n">
        <x:v>0.95</x:v>
      </x:c>
      <x:c r="R377" s="69" t="str">
        <x:v>engram/memory naming</x:v>
      </x:c>
      <x:c r="S377" s="69" t="str">
        <x:v>Primary implementation belongs to the engram stage based on filename, imports, and inventory evidence.</x:v>
      </x:c>
      <x:c r="T377" s="69" t="str">
        <x:v>Update imports and retain the old tiff module as a wrapper when callers exist.</x:v>
      </x:c>
      <x:c r="U377" s="69" t="str"/>
      <x:c r="V377" s="69" t="str">
        <x:v>TRACE_NET_ENGINEERING_ENGRAM_CORE_NHA_OVERLAY_V1, TRACE_NET_ENGRAM_SKILL_CARDS_NHA_OVERLAY_V1, TRACE_NET_NHA_ENGRAM_SKILL_LIBRARY_V1, TRACE_NET_NHA_ENGRAM_V1</x:v>
      </x:c>
      <x:c r="W377" s="69" t="str"/>
      <x:c r="X377" s="72" t="n">
        <x:v>66339</x:v>
      </x:c>
      <x:c r="Y377" s="70" t="b">
        <x:v>1</x:v>
      </x:c>
      <x:c r="Z377" s="69" t="str">
        <x:v>Compatibility required</x:v>
      </x:c>
      <x:c r="AA377" s="69" t="str">
        <x:v>https://github.com/jwild2027/heico-ai-internship-summer-2026/blob/srv/tiff/trace_net_nha_engram_v1.py</x:v>
      </x:c>
      <x:c r="AB377" s="69" t="str">
        <x:v>ingestion &lt;= path:tiff, import:tiff; visual &lt;= string:vision; tables &lt;= string:ipl, string:table; graph &lt;= path:nha, symbol:nha, string:hierarchy, string:nha, string:relationship, environment:nha; embeddings &lt;= string:qdrant; retrieval &lt;= string:opensearch, string:retriev</x:v>
      </x:c>
    </x:row>
    <x:row r="378">
      <x:c r="A378" s="68" t="n">
        <x:v>377</x:v>
      </x:c>
      <x:c r="B378" s="69" t="str">
        <x:v>tiff/trace_net_ocr_classifier_pipeline_runner_v1.py</x:v>
      </x:c>
      <x:c r="C378" s="69" t="str">
        <x:v>trace_net_ocr_classifier_pipeline_runner_v1.py</x:v>
      </x:c>
      <x:c r="D378" s="69" t="str">
        <x:v>ocr</x:v>
      </x:c>
      <x:c r="E378" s="69" t="str">
        <x:v>ingestion</x:v>
      </x:c>
      <x:c r="F378" s="69" t="str">
        <x:v>ocr</x:v>
      </x:c>
      <x:c r="G378" s="69" t="str">
        <x:v>src/trace_net/ocr/</x:v>
      </x:c>
      <x:c r="H378" s="69" t="str">
        <x:v>src/trace_net/ocr/trace_net_ocr_classifier_pipeline_runner_v1.py</x:v>
      </x:c>
      <x:c r="I378" s="69" t="str">
        <x:v>active library module</x:v>
      </x:c>
      <x:c r="J378" s="69" t="str">
        <x:v>MOVE_WITH_IMPORT_UPDATES_AND_COMPATIBILITY_WRAPPER</x:v>
      </x:c>
      <x:c r="K378" s="70" t="b">
        <x:v>1</x:v>
      </x:c>
      <x:c r="L378" s="70" t="b">
        <x:v>0</x:v>
      </x:c>
      <x:c r="M378" s="70" t="b">
        <x:v>1</x:v>
      </x:c>
      <x:c r="N378" s="69" t="n">
        <x:v>3</x:v>
      </x:c>
      <x:c r="O378" s="69" t="n">
        <x:v>0</x:v>
      </x:c>
      <x:c r="P378" s="69" t="str">
        <x:v>scripts/check_trace_net_ocr_classifier_pipeline_v1_quality.py; scripts/run_trace_net_ocr_classifier_pipeline_v1.py; tests/unit/test_trace_net_ocr_classifier_pipeline_runner_v1_command_plan.py</x:v>
      </x:c>
      <x:c r="Q378" s="71" t="n">
        <x:v>0.95</x:v>
      </x:c>
      <x:c r="R378" s="69" t="str">
        <x:v>OCR/fishnet naming</x:v>
      </x:c>
      <x:c r="S378" s="69" t="str">
        <x:v>Primary implementation belongs to the ocr stage based on filename, imports, and inventory evidence.</x:v>
      </x:c>
      <x:c r="T378" s="69" t="str">
        <x:v>Update imports and retain the old tiff module as a wrapper when callers exist.</x:v>
      </x:c>
      <x:c r="U378" s="69" t="str"/>
      <x:c r="V378" s="69" t="str">
        <x:v>TRACE_NET_OCR_CLASSIFIER_PIPELINE_RUNNER_BUILT</x:v>
      </x:c>
      <x:c r="W378" s="69" t="str"/>
      <x:c r="X378" s="72" t="n">
        <x:v>33560</x:v>
      </x:c>
      <x:c r="Y378" s="70" t="b">
        <x:v>1</x:v>
      </x:c>
      <x:c r="Z378" s="69" t="str">
        <x:v>Compatibility required</x:v>
      </x:c>
      <x:c r="AA378" s="69" t="str">
        <x:v>https://github.com/jwild2027/heico-ai-internship-summer-2026/blob/srv/tiff/trace_net_ocr_classifier_pipeline_runner_v1.py</x:v>
      </x:c>
      <x:c r="AB378" s="69" t="str">
        <x:v>shared &lt;= string:contract; ingestion &lt;= path:tiff, string:ingest, string:page_image, string:scan_pack, string:tiff; ocr &lt;= path:ocr, string:ocr, string:psm, string:tesseract, environment:ocr; tables &lt;= string:table; graph &lt;= string:graph; embeddings &lt;= string:embedding, string:qdrant</x:v>
      </x:c>
    </x:row>
    <x:row r="379">
      <x:c r="A379" s="68" t="n">
        <x:v>378</x:v>
      </x:c>
      <x:c r="B379" s="69" t="str">
        <x:v>tiff/trace_net_ocr_route_scan_pack_v1.py</x:v>
      </x:c>
      <x:c r="C379" s="69" t="str">
        <x:v>trace_net_ocr_route_scan_pack_v1.py</x:v>
      </x:c>
      <x:c r="D379" s="69" t="str">
        <x:v>ingestion</x:v>
      </x:c>
      <x:c r="E379" s="69" t="str">
        <x:v>ocr, router</x:v>
      </x:c>
      <x:c r="F379" s="69" t="str">
        <x:v>ocr</x:v>
      </x:c>
      <x:c r="G379" s="69" t="str">
        <x:v>src/trace_net/ocr/</x:v>
      </x:c>
      <x:c r="H379" s="69" t="str">
        <x:v>src/trace_net/ocr/trace_net_ocr_route_scan_pack_v1.py</x:v>
      </x:c>
      <x:c r="I379" s="69" t="str">
        <x:v>active library module</x:v>
      </x:c>
      <x:c r="J379" s="69" t="str">
        <x:v>MOVE_WITH_IMPORT_UPDATES_AND_COMPATIBILITY_WRAPPER</x:v>
      </x:c>
      <x:c r="K379" s="70" t="b">
        <x:v>1</x:v>
      </x:c>
      <x:c r="L379" s="70" t="b">
        <x:v>0</x:v>
      </x:c>
      <x:c r="M379" s="70" t="b">
        <x:v>1</x:v>
      </x:c>
      <x:c r="N379" s="69" t="n">
        <x:v>4</x:v>
      </x:c>
      <x:c r="O379" s="69" t="n">
        <x:v>0</x:v>
      </x:c>
      <x:c r="P379" s="69" t="str">
        <x:v>scripts/build_trace_net_ocr_route_scan_pack_v1.py; scripts/check_trace_net_ocr_route_scan_pack_v1_quality.py; tests/unit/test_trace_net_ocr_route_scan_pack_v1.py; tests/unit/test_trace_net_ocr_route_scan_pack_v1_quality.py</x:v>
      </x:c>
      <x:c r="Q379" s="71" t="n">
        <x:v>0.95</x:v>
      </x:c>
      <x:c r="R379" s="69" t="str">
        <x:v>OCR/fishnet naming</x:v>
      </x:c>
      <x:c r="S379" s="69" t="str">
        <x:v>Primary implementation belongs to the ocr stage based on filename, imports, and inventory evidence.</x:v>
      </x:c>
      <x:c r="T379" s="69" t="str">
        <x:v>Update imports and retain the old tiff module as a wrapper when callers exist.</x:v>
      </x:c>
      <x:c r="U379" s="69" t="str"/>
      <x:c r="V379" s="69" t="str">
        <x:v>TRACE_NET_OCR_ROUTE_SCAN_PACK_BUILT</x:v>
      </x:c>
      <x:c r="W379" s="69" t="str"/>
      <x:c r="X379" s="72" t="n">
        <x:v>30624</x:v>
      </x:c>
      <x:c r="Y379" s="70" t="b">
        <x:v>1</x:v>
      </x:c>
      <x:c r="Z379" s="69" t="str">
        <x:v>Compatibility required</x:v>
      </x:c>
      <x:c r="AA379" s="69" t="str">
        <x:v>https://github.com/jwild2027/heico-ai-internship-summer-2026/blob/srv/tiff/trace_net_ocr_route_scan_pack_v1.py</x:v>
      </x:c>
      <x:c r="AB379" s="69" t="str">
        <x:v>shared &lt;= symbol:contract, string:contract; ingestion &lt;= path:scan_pack, path:tiff, symbol:scan_pack, string:scan_pack, string:tiff, environment:scan_pack; ocr &lt;= path:ocr, symbol:ocr, symbol:psm, symbol:tesseract, string:ocr, string:psm, string:tesseract, environment:ocr; visual &lt;= string:callout, string:diagram, string:image_visual, string:visual; tables &lt;= string:ipl, string:table; embeddings &lt;= string:qdrant</x:v>
      </x:c>
    </x:row>
    <x:row r="380">
      <x:c r="A380" s="68" t="n">
        <x:v>379</x:v>
      </x:c>
      <x:c r="B380" s="69" t="str">
        <x:v>tiff/trace_net_ocr_v2_v3_embedding_candidates_v1.py</x:v>
      </x:c>
      <x:c r="C380" s="69" t="str">
        <x:v>trace_net_ocr_v2_v3_embedding_candidates_v1.py</x:v>
      </x:c>
      <x:c r="D380" s="69" t="str">
        <x:v>embeddings</x:v>
      </x:c>
      <x:c r="E380" s="69" t="str">
        <x:v>ocr, benchmarks</x:v>
      </x:c>
      <x:c r="F380" s="69" t="str">
        <x:v>ocr</x:v>
      </x:c>
      <x:c r="G380" s="69" t="str">
        <x:v>src/trace_net/ocr/</x:v>
      </x:c>
      <x:c r="H380" s="69" t="str">
        <x:v>src/trace_net/ocr/trace_net_ocr_v2_v3_embedding_candidates_v1.py</x:v>
      </x:c>
      <x:c r="I380" s="69" t="str">
        <x:v>active library module</x:v>
      </x:c>
      <x:c r="J380" s="69" t="str">
        <x:v>MOVE_WITH_IMPORT_UPDATES_AND_COMPATIBILITY_WRAPPER</x:v>
      </x:c>
      <x:c r="K380" s="70" t="b">
        <x:v>1</x:v>
      </x:c>
      <x:c r="L380" s="70" t="b">
        <x:v>0</x:v>
      </x:c>
      <x:c r="M380" s="70" t="b">
        <x:v>1</x:v>
      </x:c>
      <x:c r="N380" s="69" t="n">
        <x:v>3</x:v>
      </x:c>
      <x:c r="O380" s="69" t="n">
        <x:v>0</x:v>
      </x:c>
      <x:c r="P380" s="69" t="str">
        <x:v>scripts/build_trace_net_ocr_v2_v3_embedding_candidates_v1.py; scripts/check_trace_net_ocr_v2_v3_embedding_candidates_v1_quality.py; tests/unit/test_trace_net_ocr_v2_v3_embedding_candidates_v1.py</x:v>
      </x:c>
      <x:c r="Q380" s="71" t="n">
        <x:v>0.95</x:v>
      </x:c>
      <x:c r="R380" s="69" t="str">
        <x:v>OCR/fishnet naming</x:v>
      </x:c>
      <x:c r="S380" s="69" t="str">
        <x:v>Primary implementation belongs to the ocr stage based on filename, imports, and inventory evidence.</x:v>
      </x:c>
      <x:c r="T380" s="69" t="str">
        <x:v>Update imports and retain the old tiff module as a wrapper when callers exist.</x:v>
      </x:c>
      <x:c r="U380" s="69" t="str"/>
      <x:c r="V380" s="69" t="str"/>
      <x:c r="W380" s="69" t="str"/>
      <x:c r="X380" s="72" t="n">
        <x:v>31935</x:v>
      </x:c>
      <x:c r="Y380" s="70" t="b">
        <x:v>1</x:v>
      </x:c>
      <x:c r="Z380" s="69" t="str">
        <x:v>Compatibility required</x:v>
      </x:c>
      <x:c r="AA380" s="69" t="str">
        <x:v>https://github.com/jwild2027/heico-ai-internship-summer-2026/blob/srv/tiff/trace_net_ocr_v2_v3_embedding_candidates_v1.py</x:v>
      </x:c>
      <x:c r="AB380" s="69" t="str">
        <x:v>shared &lt;= string:contract, string:helper, string:schema, string:trust_tier; ingestion &lt;= path:tiff; ocr &lt;= path:ocr, symbol:fishnet, symbol:ocr, string:fishnet, string:ocr; tables &lt;= symbol:table, string:table; embeddings &lt;= path:embedding, path:embedding_candidate, string:embedding, string:embedding_candidate, string:qdrant; retrieval &lt;= string:candidate_discovery, string:opensearch, string:retriev, string:source_resolution</x:v>
      </x:c>
    </x:row>
    <x:row r="381">
      <x:c r="A381" s="68" t="n">
        <x:v>380</x:v>
      </x:c>
      <x:c r="B381" s="69" t="str">
        <x:v>tiff/trace_net_opensearch_adapter_lineage_guard_v1.py</x:v>
      </x:c>
      <x:c r="C381" s="69" t="str">
        <x:v>trace_net_opensearch_adapter_lineage_guard_v1.py</x:v>
      </x:c>
      <x:c r="D381" s="69" t="str">
        <x:v>retrieval</x:v>
      </x:c>
      <x:c r="E381" s="69" t="str">
        <x:v>ingestion</x:v>
      </x:c>
      <x:c r="F381" s="69" t="str">
        <x:v>retrieval</x:v>
      </x:c>
      <x:c r="G381" s="69" t="str">
        <x:v>src/trace_net/retrieval/quality/</x:v>
      </x:c>
      <x:c r="H381" s="69" t="str">
        <x:v>src/trace_net/retrieval/quality/trace_net_opensearch_adapter_lineage_guard_v1.py</x:v>
      </x:c>
      <x:c r="I381" s="69" t="str">
        <x:v>runtime validation/gating module</x:v>
      </x:c>
      <x:c r="J381" s="69" t="str">
        <x:v>MOVE_WITH_IMPORT_UPDATES_AND_COMPATIBILITY_WRAPPER</x:v>
      </x:c>
      <x:c r="K381" s="70" t="b">
        <x:v>1</x:v>
      </x:c>
      <x:c r="L381" s="70" t="b">
        <x:v>0</x:v>
      </x:c>
      <x:c r="M381" s="70" t="b">
        <x:v>1</x:v>
      </x:c>
      <x:c r="N381" s="69" t="n">
        <x:v>4</x:v>
      </x:c>
      <x:c r="O381" s="69" t="n">
        <x:v>0</x:v>
      </x:c>
      <x:c r="P381" s="69" t="str">
        <x:v>scripts/build_trace_net_opensearch_adapter_lineage_rebuild_v1.py; scripts/check_trace_net_opensearch_adapter_lineage_guard_v1_quality.py; tests/unit/test_trace_net_opensearch_adapter_lineage_guard_v1.py; tests/unit/test_trace_net_opensearch_adapter_lineage_guard_v1_quality.py</x:v>
      </x:c>
      <x:c r="Q381" s="71" t="n">
        <x:v>0.96</x:v>
      </x:c>
      <x:c r="R381" s="69" t="str">
        <x:v>retrieval/search naming</x:v>
      </x:c>
      <x:c r="S381" s="69" t="str">
        <x:v>Implements a runtime gate, critic, hardener, or evidence sufficiency check.</x:v>
      </x:c>
      <x:c r="T381" s="69" t="str">
        <x:v>Preserve gating semantics and old import path until focused tests pass.</x:v>
      </x:c>
      <x:c r="U381" s="69" t="str"/>
      <x:c r="V381" s="69" t="str"/>
      <x:c r="W381" s="69" t="str"/>
      <x:c r="X381" s="72" t="n">
        <x:v>16883</x:v>
      </x:c>
      <x:c r="Y381" s="70" t="b">
        <x:v>1</x:v>
      </x:c>
      <x:c r="Z381" s="69" t="str">
        <x:v>Compatibility required</x:v>
      </x:c>
      <x:c r="AA381" s="69" t="str">
        <x:v>https://github.com/jwild2027/heico-ai-internship-summer-2026/blob/srv/tiff/trace_net_opensearch_adapter_lineage_guard_v1.py</x:v>
      </x:c>
      <x:c r="AB381" s="69" t="str">
        <x:v>shared &lt;= string:contract, string:schema; ingestion &lt;= path:tiff; ocr &lt;= string:ocr; visual &lt;= string:visual; tables &lt;= symbol:table; embeddings &lt;= string:qdrant</x:v>
      </x:c>
    </x:row>
    <x:row r="382">
      <x:c r="A382" s="68" t="n">
        <x:v>381</x:v>
      </x:c>
      <x:c r="B382" s="69" t="str">
        <x:v>tiff/trace_net_opensearch_adapter_v1.py</x:v>
      </x:c>
      <x:c r="C382" s="69" t="str">
        <x:v>trace_net_opensearch_adapter_v1.py</x:v>
      </x:c>
      <x:c r="D382" s="69" t="str">
        <x:v>retrieval</x:v>
      </x:c>
      <x:c r="E382" s="69" t="str">
        <x:v>tables, embeddings, ingestion</x:v>
      </x:c>
      <x:c r="F382" s="69" t="str">
        <x:v>retrieval</x:v>
      </x:c>
      <x:c r="G382" s="69" t="str">
        <x:v>src/trace_net/retrieval/</x:v>
      </x:c>
      <x:c r="H382" s="69" t="str">
        <x:v>src/trace_net/retrieval/trace_net_opensearch_adapter_v1.py</x:v>
      </x:c>
      <x:c r="I382" s="69" t="str">
        <x:v>active library module</x:v>
      </x:c>
      <x:c r="J382" s="69" t="str">
        <x:v>MOVE_WITH_IMPORT_UPDATES_AND_COMPATIBILITY_WRAPPER</x:v>
      </x:c>
      <x:c r="K382" s="70" t="b">
        <x:v>1</x:v>
      </x:c>
      <x:c r="L382" s="70" t="b">
        <x:v>0</x:v>
      </x:c>
      <x:c r="M382" s="70" t="b">
        <x:v>1</x:v>
      </x:c>
      <x:c r="N382" s="69" t="n">
        <x:v>5</x:v>
      </x:c>
      <x:c r="O382" s="69" t="n">
        <x:v>0</x:v>
      </x:c>
      <x:c r="P382" s="69" t="str">
        <x:v>scripts/build_trace_net_opensearch_adapter_lineage_rebuild_v1.py; scripts/build_trace_net_opensearch_adapter_v1.py; scripts/check_trace_net_opensearch_adapter_v1_quality.py; tests/unit/test_trace_net_opensearch_adapter_v1.py; tests/unit/test_trace_net_opensearch_adapter_v1_quality.py</x:v>
      </x:c>
      <x:c r="Q382" s="71" t="n">
        <x:v>0.95</x:v>
      </x:c>
      <x:c r="R382" s="69" t="str">
        <x:v>retrieval/search naming</x:v>
      </x:c>
      <x:c r="S382" s="69" t="str">
        <x:v>Primary implementation belongs to the retrieval stage based on filename, imports, and inventory evidence.</x:v>
      </x:c>
      <x:c r="T382" s="69" t="str">
        <x:v>Update imports and retain the old tiff module as a wrapper when callers exist.</x:v>
      </x:c>
      <x:c r="U382" s="69" t="str"/>
      <x:c r="V382" s="69" t="str"/>
      <x:c r="W382" s="69" t="str"/>
      <x:c r="X382" s="72" t="n">
        <x:v>42521</x:v>
      </x:c>
      <x:c r="Y382" s="70" t="b">
        <x:v>1</x:v>
      </x:c>
      <x:c r="Z382" s="69" t="str">
        <x:v>Compatibility required</x:v>
      </x:c>
      <x:c r="AA382" s="69" t="str">
        <x:v>https://github.com/jwild2027/heico-ai-internship-summer-2026/blob/srv/tiff/trace_net_opensearch_adapter_v1.py</x:v>
      </x:c>
      <x:c r="AB382" s="69" t="str">
        <x:v>shared &lt;= symbol:helper, string:contract, string:helper, string:schema; ingestion &lt;= path:tiff, string:convert, string:tiff; ocr &lt;= string:ocr; visual &lt;= string:visual; tables &lt;= symbol:table, string:table, string:table_cell, string:table_row; graph &lt;= symbol:community, string:community, string:graph, string:leiden</x:v>
      </x:c>
    </x:row>
    <x:row r="383">
      <x:c r="A383" s="68" t="n">
        <x:v>382</x:v>
      </x:c>
      <x:c r="B383" s="69" t="str">
        <x:v>tiff/trace_net_opensearch_live_loader_v1.py</x:v>
      </x:c>
      <x:c r="C383" s="69" t="str">
        <x:v>trace_net_opensearch_live_loader_v1.py</x:v>
      </x:c>
      <x:c r="D383" s="69" t="str">
        <x:v>retrieval</x:v>
      </x:c>
      <x:c r="E383" s="69" t="str">
        <x:v>operations, benchmarks, serving</x:v>
      </x:c>
      <x:c r="F383" s="69" t="str">
        <x:v>retrieval</x:v>
      </x:c>
      <x:c r="G383" s="69" t="str">
        <x:v>src/trace_net/retrieval/</x:v>
      </x:c>
      <x:c r="H383" s="69" t="str">
        <x:v>src/trace_net/retrieval/trace_net_opensearch_live_loader_v1.py</x:v>
      </x:c>
      <x:c r="I383" s="69" t="str">
        <x:v>data/storage integration module</x:v>
      </x:c>
      <x:c r="J383" s="69" t="str">
        <x:v>MOVE_WITH_IMPORT_UPDATES_AND_COMPATIBILITY_WRAPPER</x:v>
      </x:c>
      <x:c r="K383" s="70" t="b">
        <x:v>1</x:v>
      </x:c>
      <x:c r="L383" s="70" t="b">
        <x:v>0</x:v>
      </x:c>
      <x:c r="M383" s="70" t="b">
        <x:v>1</x:v>
      </x:c>
      <x:c r="N383" s="69" t="n">
        <x:v>6</x:v>
      </x:c>
      <x:c r="O383" s="69" t="n">
        <x:v>0</x:v>
      </x:c>
      <x:c r="P383" s="69" t="str">
        <x:v>scripts/build_trace_net_opensearch_live_loader_v1.py; scripts/check_trace_net_opensearch_live_loader_v1_quality.py; scripts/run_trace_net_opensearch_live_loader_v1.py; tests/unit/test_trace_net_opensearch_live_loader_v1.py; tests/unit/test_trace_net_opensearch_live_loader_v1_quality.py; tests/unit/test_trace_net_opensearch_live_loader_v1_smoke_schema_fix.py</x:v>
      </x:c>
      <x:c r="Q383" s="71" t="n">
        <x:v>0.95</x:v>
      </x:c>
      <x:c r="R383" s="69" t="str">
        <x:v>retrieval/search naming</x:v>
      </x:c>
      <x:c r="S383" s="69" t="str">
        <x:v>Loader/writeback logic is imported by active scripts or tests.</x:v>
      </x:c>
      <x:c r="T383" s="69" t="str">
        <x:v>Preserve lineage, dry-run defaults, and source-truth mutation gates.</x:v>
      </x:c>
      <x:c r="U383" s="69" t="str"/>
      <x:c r="V383" s="69" t="str"/>
      <x:c r="W383" s="69" t="str"/>
      <x:c r="X383" s="72" t="n">
        <x:v>40921</x:v>
      </x:c>
      <x:c r="Y383" s="70" t="b">
        <x:v>1</x:v>
      </x:c>
      <x:c r="Z383" s="69" t="str">
        <x:v>Compatibility required</x:v>
      </x:c>
      <x:c r="AA383" s="69" t="str">
        <x:v>https://github.com/jwild2027/heico-ai-internship-summer-2026/blob/srv/tiff/trace_net_opensearch_live_loader_v1.py</x:v>
      </x:c>
      <x:c r="AB383" s="69" t="str">
        <x:v>shared &lt;= string:common, string:contract, string:schema; ingestion &lt;= path:tiff; ocr &lt;= string:ocr; visual &lt;= string:visual; tables &lt;= string:table, string:table_cell; graph &lt;= string:graph</x:v>
      </x:c>
    </x:row>
    <x:row r="384">
      <x:c r="A384" s="68" t="n">
        <x:v>383</x:v>
      </x:c>
      <x:c r="B384" s="69" t="str">
        <x:v>tiff/trace_net_opensearch_loader_smoke_v1.py</x:v>
      </x:c>
      <x:c r="C384" s="69" t="str">
        <x:v>trace_net_opensearch_loader_smoke_v1.py</x:v>
      </x:c>
      <x:c r="D384" s="69" t="str">
        <x:v>benchmarks</x:v>
      </x:c>
      <x:c r="E384" s="69" t="str">
        <x:v>retrieval, operations</x:v>
      </x:c>
      <x:c r="F384" s="69" t="str">
        <x:v>retrieval</x:v>
      </x:c>
      <x:c r="G384" s="69" t="str">
        <x:v>src/trace_net/retrieval/</x:v>
      </x:c>
      <x:c r="H384" s="69" t="str">
        <x:v>src/trace_net/retrieval/trace_net_opensearch_loader_smoke_v1.py</x:v>
      </x:c>
      <x:c r="I384" s="69" t="str">
        <x:v>data/storage integration module</x:v>
      </x:c>
      <x:c r="J384" s="69" t="str">
        <x:v>MOVE_WITH_IMPORT_UPDATES_AND_COMPATIBILITY_WRAPPER</x:v>
      </x:c>
      <x:c r="K384" s="70" t="b">
        <x:v>1</x:v>
      </x:c>
      <x:c r="L384" s="70" t="b">
        <x:v>0</x:v>
      </x:c>
      <x:c r="M384" s="70" t="b">
        <x:v>1</x:v>
      </x:c>
      <x:c r="N384" s="69" t="n">
        <x:v>4</x:v>
      </x:c>
      <x:c r="O384" s="69" t="n">
        <x:v>0</x:v>
      </x:c>
      <x:c r="P384" s="69" t="str">
        <x:v>scripts/build_trace_net_opensearch_loader_smoke_v1.py; scripts/check_trace_net_opensearch_loader_smoke_v1_quality.py; tests/unit/test_trace_net_opensearch_loader_smoke_v1.py; tests/unit/test_trace_net_opensearch_loader_smoke_v1_quality.py</x:v>
      </x:c>
      <x:c r="Q384" s="71" t="n">
        <x:v>0.95</x:v>
      </x:c>
      <x:c r="R384" s="69" t="str">
        <x:v>retrieval/search naming</x:v>
      </x:c>
      <x:c r="S384" s="69" t="str">
        <x:v>Loader/writeback logic is imported by active scripts or tests.</x:v>
      </x:c>
      <x:c r="T384" s="69" t="str">
        <x:v>Preserve lineage, dry-run defaults, and source-truth mutation gates.</x:v>
      </x:c>
      <x:c r="U384" s="69" t="str"/>
      <x:c r="V384" s="69" t="str"/>
      <x:c r="W384" s="69" t="str"/>
      <x:c r="X384" s="72" t="n">
        <x:v>24670</x:v>
      </x:c>
      <x:c r="Y384" s="70" t="b">
        <x:v>1</x:v>
      </x:c>
      <x:c r="Z384" s="69" t="str">
        <x:v>Compatibility required</x:v>
      </x:c>
      <x:c r="AA384" s="69" t="str">
        <x:v>https://github.com/jwild2027/heico-ai-internship-summer-2026/blob/srv/tiff/trace_net_opensearch_loader_smoke_v1.py</x:v>
      </x:c>
      <x:c r="AB384" s="69" t="str">
        <x:v>shared &lt;= symbol:common, string:contract, string:helper, string:schema; ingestion &lt;= path:tiff; ocr &lt;= string:ocr; visual &lt;= string:visual; tables &lt;= string:table, string:table_cell; embeddings &lt;= string:qdrant</x:v>
      </x:c>
    </x:row>
    <x:row r="385">
      <x:c r="A385" s="68" t="n">
        <x:v>384</x:v>
      </x:c>
      <x:c r="B385" s="69" t="str">
        <x:v>tiff/trace_net_opensearch_missing_lineage_inspector_v1.py</x:v>
      </x:c>
      <x:c r="C385" s="69" t="str">
        <x:v>trace_net_opensearch_missing_lineage_inspector_v1.py</x:v>
      </x:c>
      <x:c r="D385" s="69" t="str">
        <x:v>retrieval</x:v>
      </x:c>
      <x:c r="E385" s="69" t="str">
        <x:v>shared, ingestion</x:v>
      </x:c>
      <x:c r="F385" s="69" t="str">
        <x:v>retrieval</x:v>
      </x:c>
      <x:c r="G385" s="69" t="str">
        <x:v>src/trace_net/retrieval/</x:v>
      </x:c>
      <x:c r="H385" s="69" t="str">
        <x:v>src/trace_net/retrieval/trace_net_opensearch_missing_lineage_inspector_v1.py</x:v>
      </x:c>
      <x:c r="I385" s="69" t="str">
        <x:v>active library module</x:v>
      </x:c>
      <x:c r="J385" s="69" t="str">
        <x:v>MOVE_WITH_IMPORT_UPDATES_AND_COMPATIBILITY_WRAPPER</x:v>
      </x:c>
      <x:c r="K385" s="70" t="b">
        <x:v>1</x:v>
      </x:c>
      <x:c r="L385" s="70" t="b">
        <x:v>0</x:v>
      </x:c>
      <x:c r="M385" s="70" t="b">
        <x:v>1</x:v>
      </x:c>
      <x:c r="N385" s="69" t="n">
        <x:v>4</x:v>
      </x:c>
      <x:c r="O385" s="69" t="n">
        <x:v>0</x:v>
      </x:c>
      <x:c r="P385" s="69" t="str">
        <x:v>scripts/build_trace_net_opensearch_missing_lineage_inspector_v1.py; scripts/check_trace_net_opensearch_missing_lineage_inspector_v1_quality.py; tests/unit/test_trace_net_opensearch_missing_lineage_inspector_v1.py; tests/unit/test_trace_net_opensearch_missing_lineage_inspector_v1_quality.py</x:v>
      </x:c>
      <x:c r="Q385" s="71" t="n">
        <x:v>0.95</x:v>
      </x:c>
      <x:c r="R385" s="69" t="str">
        <x:v>retrieval/search naming</x:v>
      </x:c>
      <x:c r="S385" s="69" t="str">
        <x:v>Primary implementation belongs to the retrieval stage based on filename, imports, and inventory evidence.</x:v>
      </x:c>
      <x:c r="T385" s="69" t="str">
        <x:v>Update imports and retain the old tiff module as a wrapper when callers exist.</x:v>
      </x:c>
      <x:c r="U385" s="69" t="str"/>
      <x:c r="V385" s="69" t="str"/>
      <x:c r="W385" s="69" t="str"/>
      <x:c r="X385" s="72" t="n">
        <x:v>20495</x:v>
      </x:c>
      <x:c r="Y385" s="70" t="b">
        <x:v>1</x:v>
      </x:c>
      <x:c r="Z385" s="69" t="str">
        <x:v>Compatibility required</x:v>
      </x:c>
      <x:c r="AA385" s="69" t="str">
        <x:v>https://github.com/jwild2027/heico-ai-internship-summer-2026/blob/srv/tiff/trace_net_opensearch_missing_lineage_inspector_v1.py</x:v>
      </x:c>
      <x:c r="AB385" s="69" t="str">
        <x:v>shared &lt;= symbol:common, string:contract, string:schema; ingestion &lt;= path:tiff; ocr &lt;= string:ocr; visual &lt;= string:visual; embeddings &lt;= string:qdrant; retrieval &lt;= path:opensearch, string:opensearch, string:retriev</x:v>
      </x:c>
    </x:row>
    <x:row r="386">
      <x:c r="A386" s="68" t="n">
        <x:v>385</x:v>
      </x:c>
      <x:c r="B386" s="69" t="str">
        <x:v>tiff/trace_net_openwebui_gemma4_engram_bridge_v1.py</x:v>
      </x:c>
      <x:c r="C386" s="69" t="str">
        <x:v>trace_net_openwebui_gemma4_engram_bridge_v1.py</x:v>
      </x:c>
      <x:c r="D386" s="69" t="str">
        <x:v>serving</x:v>
      </x:c>
      <x:c r="E386" s="69" t="str">
        <x:v>brain_engram</x:v>
      </x:c>
      <x:c r="F386" s="69" t="str">
        <x:v>serving</x:v>
      </x:c>
      <x:c r="G386" s="69" t="str">
        <x:v>src/trace_net/serving/</x:v>
      </x:c>
      <x:c r="H386" s="69" t="str">
        <x:v>src/trace_net/serving/trace_net_openwebui_gemma4_engram_bridge_v1.py</x:v>
      </x:c>
      <x:c r="I386" s="69" t="str">
        <x:v>serving/runtime module</x:v>
      </x:c>
      <x:c r="J386" s="69" t="str">
        <x:v>MOVE_WITH_PROTECTED_COMPATIBILITY_WRAPPER</x:v>
      </x:c>
      <x:c r="K386" s="70" t="b">
        <x:v>1</x:v>
      </x:c>
      <x:c r="L386" s="70" t="b">
        <x:v>1</x:v>
      </x:c>
      <x:c r="M386" s="70" t="b">
        <x:v>1</x:v>
      </x:c>
      <x:c r="N386" s="69" t="n">
        <x:v>3</x:v>
      </x:c>
      <x:c r="O386" s="69" t="n">
        <x:v>0</x:v>
      </x:c>
      <x:c r="P386" s="69" t="str">
        <x:v>scripts/serve_trace_net_openwebui_gemma4_engram_bridge_v1.py; tests/unit/test_trace_net_openwebui_gemma4_engram_bridge_v1.py; tests/unit/test_trace_net_openwebui_gemma4_engram_bridge_v2.py</x:v>
      </x:c>
      <x:c r="Q386" s="71" t="n">
        <x:v>0.98</x:v>
      </x:c>
      <x:c r="R386" s="69" t="str">
        <x:v>engram/memory naming</x:v>
      </x:c>
      <x:c r="S386" s="69" t="str">
        <x:v>API, endpoint, server, bridge, or console implementation used by runtime callers.</x:v>
      </x:c>
      <x:c r="T386" s="69" t="str">
        <x:v>Old entrypoint must remain callable; verify relevant ports and OpenWebUI behavior.</x:v>
      </x:c>
      <x:c r="U386" s="69" t="str">
        <x:v>8020, 8192, 11434</x:v>
      </x:c>
      <x:c r="V386" s="69" t="str">
        <x:v>TRACE_NET_OPENWEBUI_GEMMA4_ENGRAM_BRIDGE_STARTED</x:v>
      </x:c>
      <x:c r="W386" s="69" t="str">
        <x:v>tiff/trace_net_openwebui_gemma4_engram_bridge_v2.py</x:v>
      </x:c>
      <x:c r="X386" s="72" t="n">
        <x:v>30803</x:v>
      </x:c>
      <x:c r="Y386" s="70" t="b">
        <x:v>1</x:v>
      </x:c>
      <x:c r="Z386" s="69" t="str">
        <x:v>Protected runtime</x:v>
      </x:c>
      <x:c r="AA386" s="69" t="str">
        <x:v>https://github.com/jwild2027/heico-ai-internship-summer-2026/blob/srv/tiff/trace_net_openwebui_gemma4_engram_bridge_v1.py</x:v>
      </x:c>
      <x:c r="AB386" s="69" t="str">
        <x:v>shared &lt;= string:source_trace_id; ingestion &lt;= path:tiff, symbol:extract_page; ocr &lt;= string:ocr; visual &lt;= string:callout, string:image_visual, string:vision, string:visual; tables &lt;= string:ipl, string:table; graph &lt;= string:graph</x:v>
      </x:c>
    </x:row>
    <x:row r="387">
      <x:c r="A387" s="68" t="n">
        <x:v>386</x:v>
      </x:c>
      <x:c r="B387" s="69" t="str">
        <x:v>tiff/trace_net_openwebui_gemma4_engram_bridge_v2.py</x:v>
      </x:c>
      <x:c r="C387" s="69" t="str">
        <x:v>trace_net_openwebui_gemma4_engram_bridge_v2.py</x:v>
      </x:c>
      <x:c r="D387" s="69" t="str">
        <x:v>serving</x:v>
      </x:c>
      <x:c r="E387" s="69" t="str">
        <x:v>brain_engram</x:v>
      </x:c>
      <x:c r="F387" s="69" t="str">
        <x:v>serving</x:v>
      </x:c>
      <x:c r="G387" s="69" t="str">
        <x:v>src/trace_net/serving/</x:v>
      </x:c>
      <x:c r="H387" s="69" t="str">
        <x:v>src/trace_net/serving/trace_net_openwebui_gemma4_engram_bridge_v2.py</x:v>
      </x:c>
      <x:c r="I387" s="69" t="str">
        <x:v>serving/runtime module</x:v>
      </x:c>
      <x:c r="J387" s="69" t="str">
        <x:v>MOVE_WITH_PROTECTED_COMPATIBILITY_WRAPPER</x:v>
      </x:c>
      <x:c r="K387" s="70" t="b">
        <x:v>1</x:v>
      </x:c>
      <x:c r="L387" s="70" t="b">
        <x:v>1</x:v>
      </x:c>
      <x:c r="M387" s="70" t="b">
        <x:v>1</x:v>
      </x:c>
      <x:c r="N387" s="69" t="n">
        <x:v>2</x:v>
      </x:c>
      <x:c r="O387" s="69" t="n">
        <x:v>0</x:v>
      </x:c>
      <x:c r="P387" s="69" t="str">
        <x:v>scripts/serve_trace_net_openwebui_gemma4_engram_bridge_v2.py; tests/unit/test_trace_net_openwebui_gemma4_engram_bridge_v2.py</x:v>
      </x:c>
      <x:c r="Q387" s="71" t="n">
        <x:v>0.98</x:v>
      </x:c>
      <x:c r="R387" s="69" t="str">
        <x:v>engram/memory naming</x:v>
      </x:c>
      <x:c r="S387" s="69" t="str">
        <x:v>API, endpoint, server, bridge, or console implementation used by runtime callers.</x:v>
      </x:c>
      <x:c r="T387" s="69" t="str">
        <x:v>Old entrypoint must remain callable; verify relevant ports and OpenWebUI behavior.</x:v>
      </x:c>
      <x:c r="U387" s="69" t="str">
        <x:v>8021, 11434</x:v>
      </x:c>
      <x:c r="V387" s="69" t="str">
        <x:v>TRACE_NET_OPENWEBUI_GEMMA4_ENGRAM_BRIDGE_V2_STARTED</x:v>
      </x:c>
      <x:c r="W387" s="69" t="str"/>
      <x:c r="X387" s="72" t="n">
        <x:v>14173</x:v>
      </x:c>
      <x:c r="Y387" s="70" t="b">
        <x:v>1</x:v>
      </x:c>
      <x:c r="Z387" s="69" t="str">
        <x:v>Protected runtime</x:v>
      </x:c>
      <x:c r="AA387" s="69" t="str">
        <x:v>https://github.com/jwild2027/heico-ai-internship-summer-2026/blob/srv/tiff/trace_net_openwebui_gemma4_engram_bridge_v2.py</x:v>
      </x:c>
      <x:c r="AB387" s="69" t="str">
        <x:v>ingestion &lt;= path:tiff, import:tiff; ocr &lt;= string:ocr; visual &lt;= string:visual; tables &lt;= string:table; embeddings &lt;= string:qdrant; retrieval &lt;= string:opensearch, string:retriev</x:v>
      </x:c>
    </x:row>
    <x:row r="388">
      <x:c r="A388" s="68" t="n">
        <x:v>387</x:v>
      </x:c>
      <x:c r="B388" s="69" t="str">
        <x:v>tiff/trace_net_openwebui_page_context_bridge_v1.py</x:v>
      </x:c>
      <x:c r="C388" s="69" t="str">
        <x:v>trace_net_openwebui_page_context_bridge_v1.py</x:v>
      </x:c>
      <x:c r="D388" s="69" t="str">
        <x:v>serving</x:v>
      </x:c>
      <x:c r="E388" s="69" t="str">
        <x:v>context</x:v>
      </x:c>
      <x:c r="F388" s="69" t="str">
        <x:v>serving</x:v>
      </x:c>
      <x:c r="G388" s="69" t="str">
        <x:v>src/trace_net/serving/</x:v>
      </x:c>
      <x:c r="H388" s="69" t="str">
        <x:v>src/trace_net/serving/trace_net_openwebui_page_context_bridge_v1.py</x:v>
      </x:c>
      <x:c r="I388" s="69" t="str">
        <x:v>serving/runtime module</x:v>
      </x:c>
      <x:c r="J388" s="69" t="str">
        <x:v>MOVE_WITH_PROTECTED_COMPATIBILITY_WRAPPER</x:v>
      </x:c>
      <x:c r="K388" s="70" t="b">
        <x:v>1</x:v>
      </x:c>
      <x:c r="L388" s="70" t="b">
        <x:v>1</x:v>
      </x:c>
      <x:c r="M388" s="70" t="b">
        <x:v>1</x:v>
      </x:c>
      <x:c r="N388" s="69" t="n">
        <x:v>3</x:v>
      </x:c>
      <x:c r="O388" s="69" t="n">
        <x:v>3</x:v>
      </x:c>
      <x:c r="P388" s="69" t="str">
        <x:v>scripts/build_trace_net_openwebui_page_context_bridge_v1.py; scripts/serve_trace_net_openwebui_page_context_bridge_v1.py; tests/unit/test_trace_net_openwebui_page_context_bridge_v1.py; docs/trace_net_canonical_runtime_map_v1_README.md; tests/unit/test_trace_net_canonical_runtime_map_v1.py; tiff/trace_net_canonical_runtime_map_v1.py</x:v>
      </x:c>
      <x:c r="Q388" s="71" t="n">
        <x:v>0.98</x:v>
      </x:c>
      <x:c r="R388" s="69" t="str">
        <x:v>context/evidence naming</x:v>
      </x:c>
      <x:c r="S388" s="69" t="str">
        <x:v>API, endpoint, server, bridge, or console implementation used by runtime callers.</x:v>
      </x:c>
      <x:c r="T388" s="69" t="str">
        <x:v>Old entrypoint must remain callable; verify relevant ports and OpenWebUI behavior.</x:v>
      </x:c>
      <x:c r="U388" s="69" t="str">
        <x:v>8022, 8023, 8192, 11434</x:v>
      </x:c>
      <x:c r="V388" s="69" t="str"/>
      <x:c r="W388" s="69" t="str"/>
      <x:c r="X388" s="72" t="n">
        <x:v>59596</x:v>
      </x:c>
      <x:c r="Y388" s="70" t="b">
        <x:v>1</x:v>
      </x:c>
      <x:c r="Z388" s="69" t="str">
        <x:v>Protected runtime</x:v>
      </x:c>
      <x:c r="AA388" s="69" t="str">
        <x:v>https://github.com/jwild2027/heico-ai-internship-summer-2026/blob/srv/tiff/trace_net_openwebui_page_context_bridge_v1.py</x:v>
      </x:c>
      <x:c r="AB388" s="69" t="str">
        <x:v>shared &lt;= string:contract, string:helper; ingestion &lt;= path:tiff, symbol:extract_page; ocr &lt;= string:fishnet, string:ocr; visual &lt;= string:image_visual, string:visual; tables &lt;= string:table, string:table_cell; graph &lt;= string:graph, string:leiden</x:v>
      </x:c>
    </x:row>
    <x:row r="389">
      <x:c r="A389" s="68" t="n">
        <x:v>388</x:v>
      </x:c>
      <x:c r="B389" s="69" t="str">
        <x:v>tiff/trace_net_paddleocr_experiment.py</x:v>
      </x:c>
      <x:c r="C389" s="69" t="str">
        <x:v>trace_net_paddleocr_experiment.py</x:v>
      </x:c>
      <x:c r="D389" s="69" t="str">
        <x:v>ocr</x:v>
      </x:c>
      <x:c r="E389" s="69" t="str">
        <x:v>ingestion</x:v>
      </x:c>
      <x:c r="F389" s="69" t="str">
        <x:v>ocr</x:v>
      </x:c>
      <x:c r="G389" s="69" t="str">
        <x:v>src/trace_net/ocr/</x:v>
      </x:c>
      <x:c r="H389" s="69" t="str">
        <x:v>src/trace_net/ocr/trace_net_paddleocr_experiment.py</x:v>
      </x:c>
      <x:c r="I389" s="69" t="str">
        <x:v>active library module</x:v>
      </x:c>
      <x:c r="J389" s="69" t="str">
        <x:v>MOVE_WITH_IMPORT_UPDATES_AND_COMPATIBILITY_WRAPPER</x:v>
      </x:c>
      <x:c r="K389" s="70" t="b">
        <x:v>1</x:v>
      </x:c>
      <x:c r="L389" s="70" t="b">
        <x:v>0</x:v>
      </x:c>
      <x:c r="M389" s="70" t="b">
        <x:v>1</x:v>
      </x:c>
      <x:c r="N389" s="69" t="n">
        <x:v>4</x:v>
      </x:c>
      <x:c r="O389" s="69" t="n">
        <x:v>0</x:v>
      </x:c>
      <x:c r="P389" s="69" t="str">
        <x:v>scripts/check_trace_net_paddleocr_table_quality.py; scripts/run_trace_net_paddleocr_table_experiment.py; tests/unit/test_tiff_trace_net_paddleocr_experiment.py; tests/unit/test_tiff_trace_net_paddleocr_quality.py</x:v>
      </x:c>
      <x:c r="Q389" s="71" t="n">
        <x:v>0.95</x:v>
      </x:c>
      <x:c r="R389" s="69" t="str">
        <x:v>OCR/fishnet naming</x:v>
      </x:c>
      <x:c r="S389" s="69" t="str">
        <x:v>Primary implementation belongs to the ocr stage based on filename, imports, and inventory evidence.</x:v>
      </x:c>
      <x:c r="T389" s="69" t="str">
        <x:v>Update imports and retain the old tiff module as a wrapper when callers exist.</x:v>
      </x:c>
      <x:c r="U389" s="69" t="str"/>
      <x:c r="V389" s="69" t="str"/>
      <x:c r="W389" s="69" t="str"/>
      <x:c r="X389" s="72" t="n">
        <x:v>34303</x:v>
      </x:c>
      <x:c r="Y389" s="70" t="b">
        <x:v>1</x:v>
      </x:c>
      <x:c r="Z389" s="69" t="str">
        <x:v>Compatibility required</x:v>
      </x:c>
      <x:c r="AA389" s="69" t="str">
        <x:v>https://github.com/jwild2027/heico-ai-internship-summer-2026/blob/srv/tiff/trace_net_paddleocr_experiment.py</x:v>
      </x:c>
      <x:c r="AB389" s="69" t="str">
        <x:v>ingestion &lt;= path:tiff, symbol:extract_page; ocr &lt;= path:ocr, path:paddleocr, symbol:ocr, symbol:paddleocr, string:ocr, string:paddleocr; tables &lt;= symbol:table, string:table; graph &lt;= symbol:graph, string:graph; serving &lt;= import:sse; benchmarks &lt;= string:smoke</x:v>
      </x:c>
    </x:row>
    <x:row r="390">
      <x:c r="A390" s="68" t="n">
        <x:v>389</x:v>
      </x:c>
      <x:c r="B390" s="69" t="str">
        <x:v>tiff/trace_net_page_context_overlay.py</x:v>
      </x:c>
      <x:c r="C390" s="69" t="str">
        <x:v>trace_net_page_context_overlay.py</x:v>
      </x:c>
      <x:c r="D390" s="69" t="str">
        <x:v>context</x:v>
      </x:c>
      <x:c r="E390" s="69" t="str">
        <x:v>ingestion, shared, graph</x:v>
      </x:c>
      <x:c r="F390" s="69" t="str">
        <x:v>context</x:v>
      </x:c>
      <x:c r="G390" s="69" t="str">
        <x:v>src/trace_net/context/</x:v>
      </x:c>
      <x:c r="H390" s="69" t="str">
        <x:v>src/trace_net/context/trace_net_page_context_overlay.py</x:v>
      </x:c>
      <x:c r="I390" s="69" t="str">
        <x:v>active library module</x:v>
      </x:c>
      <x:c r="J390" s="69" t="str">
        <x:v>MOVE_WITH_IMPORT_UPDATES_AND_COMPATIBILITY_WRAPPER</x:v>
      </x:c>
      <x:c r="K390" s="70" t="b">
        <x:v>1</x:v>
      </x:c>
      <x:c r="L390" s="70" t="b">
        <x:v>0</x:v>
      </x:c>
      <x:c r="M390" s="70" t="b">
        <x:v>1</x:v>
      </x:c>
      <x:c r="N390" s="69" t="n">
        <x:v>2</x:v>
      </x:c>
      <x:c r="O390" s="69" t="n">
        <x:v>0</x:v>
      </x:c>
      <x:c r="P390" s="69" t="str">
        <x:v>scripts/load_trace_net_page_context_overlay.py; tests/unit/test_tiff_trace_net_page_context_overlay.py</x:v>
      </x:c>
      <x:c r="Q390" s="71" t="n">
        <x:v>0.95</x:v>
      </x:c>
      <x:c r="R390" s="69" t="str">
        <x:v>context/evidence naming</x:v>
      </x:c>
      <x:c r="S390" s="69" t="str">
        <x:v>Primary implementation belongs to the context stage based on filename, imports, and inventory evidence.</x:v>
      </x:c>
      <x:c r="T390" s="69" t="str">
        <x:v>Update imports and retain the old tiff module as a wrapper when callers exist.</x:v>
      </x:c>
      <x:c r="U390" s="69" t="str"/>
      <x:c r="V390" s="69" t="str">
        <x:v>TRACE_NET_DATABASE_URL</x:v>
      </x:c>
      <x:c r="W390" s="69" t="str"/>
      <x:c r="X390" s="72" t="n">
        <x:v>31166</x:v>
      </x:c>
      <x:c r="Y390" s="70" t="b">
        <x:v>1</x:v>
      </x:c>
      <x:c r="Z390" s="69" t="str">
        <x:v>Compatibility required</x:v>
      </x:c>
      <x:c r="AA390" s="69" t="str">
        <x:v>https://github.com/jwild2027/heico-ai-internship-summer-2026/blob/srv/tiff/trace_net_page_context_overlay.py</x:v>
      </x:c>
      <x:c r="AB390" s="69" t="str">
        <x:v>shared &lt;= symbol:schema, string:helper, string:source_id; ingestion &lt;= path:tiff; tables &lt;= string:table; graph &lt;= symbol:graph, string:graph, string:has_context; retrieval &lt;= string:retriev; context &lt;= path:page_context, symbol:page_context, string:page_context</x:v>
      </x:c>
    </x:row>
    <x:row r="391">
      <x:c r="A391" s="68" t="n">
        <x:v>390</x:v>
      </x:c>
      <x:c r="B391" s="69" t="str">
        <x:v>tiff/trace_net_page_context_overlay_quality.py</x:v>
      </x:c>
      <x:c r="C391" s="69" t="str">
        <x:v>trace_net_page_context_overlay_quality.py</x:v>
      </x:c>
      <x:c r="D391" s="69" t="str">
        <x:v>context</x:v>
      </x:c>
      <x:c r="E391" s="69" t="str">
        <x:v>ingestion</x:v>
      </x:c>
      <x:c r="F391" s="69" t="str">
        <x:v>validation</x:v>
      </x:c>
      <x:c r="G391" s="69" t="str">
        <x:v>src/trace_net/validation/</x:v>
      </x:c>
      <x:c r="H391" s="69" t="str">
        <x:v>src/trace_net/validation/trace_net_page_context_overlay_quality.py</x:v>
      </x:c>
      <x:c r="I391" s="69" t="str">
        <x:v>quality validator module</x:v>
      </x:c>
      <x:c r="J391" s="69" t="str">
        <x:v>MOVE_WITH_IMPORT_UPDATES_AND_COMPATIBILITY_WRAPPER</x:v>
      </x:c>
      <x:c r="K391" s="70" t="b">
        <x:v>1</x:v>
      </x:c>
      <x:c r="L391" s="70" t="b">
        <x:v>0</x:v>
      </x:c>
      <x:c r="M391" s="70" t="b">
        <x:v>1</x:v>
      </x:c>
      <x:c r="N391" s="69" t="n">
        <x:v>2</x:v>
      </x:c>
      <x:c r="O391" s="69" t="n">
        <x:v>0</x:v>
      </x:c>
      <x:c r="P391" s="69" t="str">
        <x:v>scripts/check_trace_net_page_context_overlay_quality.py; tests/unit/test_tiff_trace_net_page_context_overlay_quality.py</x:v>
      </x:c>
      <x:c r="Q391" s="71" t="n">
        <x:v>0.97</x:v>
      </x:c>
      <x:c r="R391" s="69" t="str">
        <x:v>context/evidence naming</x:v>
      </x:c>
      <x:c r="S391" s="69" t="str">
        <x:v>Quality logic is reusable source code for the context stage.</x:v>
      </x:c>
      <x:c r="T391" s="69" t="str">
        <x:v>Update test and script imports; retain the old tiff import as a thin wrapper until PASS.</x:v>
      </x:c>
      <x:c r="U391" s="69" t="str"/>
      <x:c r="V391" s="69" t="str"/>
      <x:c r="W391" s="69" t="str"/>
      <x:c r="X391" s="72" t="n">
        <x:v>7937</x:v>
      </x:c>
      <x:c r="Y391" s="70" t="b">
        <x:v>1</x:v>
      </x:c>
      <x:c r="Z391" s="69" t="str">
        <x:v>Compatibility required</x:v>
      </x:c>
      <x:c r="AA391" s="69" t="str">
        <x:v>https://github.com/jwild2027/heico-ai-internship-summer-2026/blob/srv/tiff/trace_net_page_context_overlay_quality.py</x:v>
      </x:c>
      <x:c r="AB391" s="69" t="str">
        <x:v>ingestion &lt;= path:tiff; graph &lt;= string:graph, string:has_context; context &lt;= path:page_context, string:page_context; referenced_by_count=2; imported_by_count=2</x:v>
      </x:c>
    </x:row>
    <x:row r="392">
      <x:c r="A392" s="68" t="n">
        <x:v>391</x:v>
      </x:c>
      <x:c r="B392" s="69" t="str">
        <x:v>tiff/trace_net_page_context_pack_v3.py</x:v>
      </x:c>
      <x:c r="C392" s="69" t="str">
        <x:v>trace_net_page_context_pack_v3.py</x:v>
      </x:c>
      <x:c r="D392" s="69" t="str">
        <x:v>context</x:v>
      </x:c>
      <x:c r="E392" s="69" t="str"/>
      <x:c r="F392" s="69" t="str">
        <x:v>context</x:v>
      </x:c>
      <x:c r="G392" s="69" t="str">
        <x:v>src/trace_net/context/</x:v>
      </x:c>
      <x:c r="H392" s="69" t="str">
        <x:v>src/trace_net/context/trace_net_page_context_pack_v3.py</x:v>
      </x:c>
      <x:c r="I392" s="69" t="str">
        <x:v>active library module</x:v>
      </x:c>
      <x:c r="J392" s="69" t="str">
        <x:v>MOVE_WITH_IMPORT_UPDATES_AND_COMPATIBILITY_WRAPPER</x:v>
      </x:c>
      <x:c r="K392" s="70" t="b">
        <x:v>1</x:v>
      </x:c>
      <x:c r="L392" s="70" t="b">
        <x:v>0</x:v>
      </x:c>
      <x:c r="M392" s="70" t="b">
        <x:v>1</x:v>
      </x:c>
      <x:c r="N392" s="69" t="n">
        <x:v>3</x:v>
      </x:c>
      <x:c r="O392" s="69" t="n">
        <x:v>3</x:v>
      </x:c>
      <x:c r="P392" s="69" t="str">
        <x:v>scripts/build_trace_net_page_context_pack_v3.py; scripts/check_trace_net_page_context_pack_v3_quality.py; tests/unit/test_trace_net_page_context_pack_v3.py; docs/trace_net_canonical_runtime_map_v1_README.md; tests/unit/test_trace_net_canonical_runtime_map_v1.py; tiff/trace_net_canonical_runtime_map_v1.py</x:v>
      </x:c>
      <x:c r="Q392" s="71" t="n">
        <x:v>0.95</x:v>
      </x:c>
      <x:c r="R392" s="69" t="str">
        <x:v>context/evidence naming</x:v>
      </x:c>
      <x:c r="S392" s="69" t="str">
        <x:v>Primary implementation belongs to the context stage based on filename, imports, and inventory evidence.</x:v>
      </x:c>
      <x:c r="T392" s="69" t="str">
        <x:v>Update imports and retain the old tiff module as a wrapper when callers exist.</x:v>
      </x:c>
      <x:c r="U392" s="69" t="str"/>
      <x:c r="V392" s="69" t="str"/>
      <x:c r="W392" s="69" t="str"/>
      <x:c r="X392" s="72" t="n">
        <x:v>43513</x:v>
      </x:c>
      <x:c r="Y392" s="70" t="b">
        <x:v>1</x:v>
      </x:c>
      <x:c r="Z392" s="69" t="str">
        <x:v>Compatibility required</x:v>
      </x:c>
      <x:c r="AA392" s="69" t="str">
        <x:v>https://github.com/jwild2027/heico-ai-internship-summer-2026/blob/srv/tiff/trace_net_page_context_pack_v3.py</x:v>
      </x:c>
      <x:c r="AB392" s="69" t="str">
        <x:v>shared &lt;= string:common, string:contract; ingestion &lt;= path:tiff, string:tiff; ocr &lt;= string:ocr; visual &lt;= string:diagram, string:llava, string:visual; tables &lt;= string:ipl, string:table; graph &lt;= string:graph</x:v>
      </x:c>
    </x:row>
    <x:row r="393">
      <x:c r="A393" s="68" t="n">
        <x:v>392</x:v>
      </x:c>
      <x:c r="B393" s="69" t="str">
        <x:v>tiff/trace_net_page_context_v2.py</x:v>
      </x:c>
      <x:c r="C393" s="69" t="str">
        <x:v>trace_net_page_context_v2.py</x:v>
      </x:c>
      <x:c r="D393" s="69" t="str">
        <x:v>context</x:v>
      </x:c>
      <x:c r="E393" s="69" t="str">
        <x:v>ingestion, shared, benchmarks</x:v>
      </x:c>
      <x:c r="F393" s="69" t="str">
        <x:v>context</x:v>
      </x:c>
      <x:c r="G393" s="69" t="str">
        <x:v>src/trace_net/context/</x:v>
      </x:c>
      <x:c r="H393" s="69" t="str">
        <x:v>src/trace_net/context/trace_net_page_context_v2.py</x:v>
      </x:c>
      <x:c r="I393" s="69" t="str">
        <x:v>active library module</x:v>
      </x:c>
      <x:c r="J393" s="69" t="str">
        <x:v>MOVE_WITH_PROTECTED_COMPATIBILITY_WRAPPER</x:v>
      </x:c>
      <x:c r="K393" s="70" t="b">
        <x:v>1</x:v>
      </x:c>
      <x:c r="L393" s="70" t="b">
        <x:v>1</x:v>
      </x:c>
      <x:c r="M393" s="70" t="b">
        <x:v>1</x:v>
      </x:c>
      <x:c r="N393" s="69" t="n">
        <x:v>6</x:v>
      </x:c>
      <x:c r="O393" s="69" t="n">
        <x:v>1</x:v>
      </x:c>
      <x:c r="P393" s="69" t="str">
        <x:v>scripts/generate_trace_net_page_context_v2.py; tests/unit/test_tiff_trace_net_page_context_v2.py; tests/unit/test_trace_net_v2_gemma_summary_sample_runner_v1.py; tiff/trace_net_v2_gemma_summary_sample_runner_v1.py; tiff/trace_net_v2_sample_runner_simple_v1.py; tiff/trace_net_v2_summary_smoke_tester_v1.py; docs/trace_net_v2_summary_smoke_tester_v1_README.md</x:v>
      </x:c>
      <x:c r="Q393" s="71" t="n">
        <x:v>0.95</x:v>
      </x:c>
      <x:c r="R393" s="69" t="str">
        <x:v>context/evidence naming</x:v>
      </x:c>
      <x:c r="S393" s="69" t="str">
        <x:v>Primary implementation belongs to the context stage based on filename, imports, and inventory evidence.</x:v>
      </x:c>
      <x:c r="T393" s="69" t="str">
        <x:v>Update imports and retain the old tiff module as a wrapper when callers exist.</x:v>
      </x:c>
      <x:c r="U393" s="69" t="str">
        <x:v>11434</x:v>
      </x:c>
      <x:c r="V393" s="69" t="str">
        <x:v>TRACE_NET_DATABASE_URL</x:v>
      </x:c>
      <x:c r="W393" s="69" t="str"/>
      <x:c r="X393" s="72" t="n">
        <x:v>52703</x:v>
      </x:c>
      <x:c r="Y393" s="70" t="b">
        <x:v>1</x:v>
      </x:c>
      <x:c r="Z393" s="69" t="str">
        <x:v>Protected runtime</x:v>
      </x:c>
      <x:c r="AA393" s="69" t="str">
        <x:v>https://github.com/jwild2027/heico-ai-internship-summer-2026/blob/srv/tiff/trace_net_page_context_v2.py</x:v>
      </x:c>
      <x:c r="AB393" s="69" t="str">
        <x:v>shared &lt;= symbol:schema, import:contract, string:contract, string:helper; ingestion &lt;= path:tiff, import:tiff, string:tiff; ocr &lt;= string:ocr; visual &lt;= string:vision; tables &lt;= symbol:table, string:table; graph &lt;= string:graph, string:has_context</x:v>
      </x:c>
    </x:row>
    <x:row r="394">
      <x:c r="A394" s="68" t="n">
        <x:v>393</x:v>
      </x:c>
      <x:c r="B394" s="69" t="str">
        <x:v>tiff/trace_net_page_context_v2_gemma_adapter_v1.py</x:v>
      </x:c>
      <x:c r="C394" s="69" t="str">
        <x:v>trace_net_page_context_v2_gemma_adapter_v1.py</x:v>
      </x:c>
      <x:c r="D394" s="69" t="str">
        <x:v>context</x:v>
      </x:c>
      <x:c r="E394" s="69" t="str">
        <x:v>llm_writing, graph, ingestion</x:v>
      </x:c>
      <x:c r="F394" s="69" t="str">
        <x:v>context</x:v>
      </x:c>
      <x:c r="G394" s="69" t="str">
        <x:v>src/trace_net/context/</x:v>
      </x:c>
      <x:c r="H394" s="69" t="str">
        <x:v>src/trace_net/context/trace_net_page_context_v2_gemma_adapter_v1.py</x:v>
      </x:c>
      <x:c r="I394" s="69" t="str">
        <x:v>active library module</x:v>
      </x:c>
      <x:c r="J394" s="69" t="str">
        <x:v>MOVE_WITH_IMPORT_UPDATES_AND_COMPATIBILITY_WRAPPER</x:v>
      </x:c>
      <x:c r="K394" s="70" t="b">
        <x:v>1</x:v>
      </x:c>
      <x:c r="L394" s="70" t="b">
        <x:v>0</x:v>
      </x:c>
      <x:c r="M394" s="70" t="b">
        <x:v>1</x:v>
      </x:c>
      <x:c r="N394" s="69" t="n">
        <x:v>3</x:v>
      </x:c>
      <x:c r="O394" s="69" t="n">
        <x:v>0</x:v>
      </x:c>
      <x:c r="P394" s="69" t="str">
        <x:v>scripts/build_trace_net_page_context_v2_gemma_adapter_v1.py; scripts/check_trace_net_page_context_v2_gemma_adapter_v1_quality.py; tests/unit/test_trace_net_page_context_v2_gemma_adapter_v1.py</x:v>
      </x:c>
      <x:c r="Q394" s="71" t="n">
        <x:v>0.95</x:v>
      </x:c>
      <x:c r="R394" s="69" t="str">
        <x:v>context/evidence naming</x:v>
      </x:c>
      <x:c r="S394" s="69" t="str">
        <x:v>Primary implementation belongs to the context stage based on filename, imports, and inventory evidence.</x:v>
      </x:c>
      <x:c r="T394" s="69" t="str">
        <x:v>Update imports and retain the old tiff module as a wrapper when callers exist.</x:v>
      </x:c>
      <x:c r="U394" s="69" t="str"/>
      <x:c r="V394" s="69" t="str"/>
      <x:c r="W394" s="69" t="str"/>
      <x:c r="X394" s="72" t="n">
        <x:v>24489</x:v>
      </x:c>
      <x:c r="Y394" s="70" t="b">
        <x:v>1</x:v>
      </x:c>
      <x:c r="Z394" s="69" t="str">
        <x:v>Compatibility required</x:v>
      </x:c>
      <x:c r="AA394" s="69" t="str">
        <x:v>https://github.com/jwild2027/heico-ai-internship-summer-2026/blob/srv/tiff/trace_net_page_context_v2_gemma_adapter_v1.py</x:v>
      </x:c>
      <x:c r="AB394" s="69" t="str">
        <x:v>shared &lt;= string:contract, string:source_id; ingestion &lt;= path:tiff; tables &lt;= symbol:table; graph &lt;= symbol:graph, string:graph, string:has_context, string:relationship; embeddings &lt;= string:qdrant; retrieval &lt;= string:opensearch, string:retriev</x:v>
      </x:c>
    </x:row>
    <x:row r="395">
      <x:c r="A395" s="68" t="n">
        <x:v>394</x:v>
      </x:c>
      <x:c r="B395" s="69" t="str">
        <x:v>tiff/trace_net_page_context_v2_quality.py</x:v>
      </x:c>
      <x:c r="C395" s="69" t="str">
        <x:v>trace_net_page_context_v2_quality.py</x:v>
      </x:c>
      <x:c r="D395" s="69" t="str">
        <x:v>context</x:v>
      </x:c>
      <x:c r="E395" s="69" t="str">
        <x:v>ingestion</x:v>
      </x:c>
      <x:c r="F395" s="69" t="str">
        <x:v>validation</x:v>
      </x:c>
      <x:c r="G395" s="69" t="str">
        <x:v>src/trace_net/validation/</x:v>
      </x:c>
      <x:c r="H395" s="69" t="str">
        <x:v>src/trace_net/validation/trace_net_page_context_v2_quality.py</x:v>
      </x:c>
      <x:c r="I395" s="69" t="str">
        <x:v>quality validator module</x:v>
      </x:c>
      <x:c r="J395" s="69" t="str">
        <x:v>MOVE_WITH_IMPORT_UPDATES_AND_COMPATIBILITY_WRAPPER</x:v>
      </x:c>
      <x:c r="K395" s="70" t="b">
        <x:v>1</x:v>
      </x:c>
      <x:c r="L395" s="70" t="b">
        <x:v>0</x:v>
      </x:c>
      <x:c r="M395" s="70" t="b">
        <x:v>1</x:v>
      </x:c>
      <x:c r="N395" s="69" t="n">
        <x:v>2</x:v>
      </x:c>
      <x:c r="O395" s="69" t="n">
        <x:v>0</x:v>
      </x:c>
      <x:c r="P395" s="69" t="str">
        <x:v>scripts/check_trace_net_page_context_v2_quality.py; tests/unit/test_tiff_trace_net_page_context_v2_quality.py</x:v>
      </x:c>
      <x:c r="Q395" s="71" t="n">
        <x:v>0.97</x:v>
      </x:c>
      <x:c r="R395" s="69" t="str">
        <x:v>context/evidence naming</x:v>
      </x:c>
      <x:c r="S395" s="69" t="str">
        <x:v>Quality logic is reusable source code for the context stage.</x:v>
      </x:c>
      <x:c r="T395" s="69" t="str">
        <x:v>Update test and script imports; retain the old tiff import as a thin wrapper until PASS.</x:v>
      </x:c>
      <x:c r="U395" s="69" t="str"/>
      <x:c r="V395" s="69" t="str">
        <x:v>TRACE_NET_DATABASE_URL</x:v>
      </x:c>
      <x:c r="W395" s="69" t="str"/>
      <x:c r="X395" s="72" t="n">
        <x:v>9454</x:v>
      </x:c>
      <x:c r="Y395" s="70" t="b">
        <x:v>1</x:v>
      </x:c>
      <x:c r="Z395" s="69" t="str">
        <x:v>Compatibility required</x:v>
      </x:c>
      <x:c r="AA395" s="69" t="str">
        <x:v>https://github.com/jwild2027/heico-ai-internship-summer-2026/blob/srv/tiff/trace_net_page_context_v2_quality.py</x:v>
      </x:c>
      <x:c r="AB395" s="69" t="str">
        <x:v>ingestion &lt;= path:tiff; graph &lt;= string:graph, string:has_context; retrieval &lt;= string:retriev; context &lt;= path:page_context, string:page_context, string:v2_summary; benchmarks &lt;= string:eval; operations &lt;= string:install</x:v>
      </x:c>
    </x:row>
    <x:row r="396">
      <x:c r="A396" s="68" t="n">
        <x:v>395</x:v>
      </x:c>
      <x:c r="B396" s="69" t="str">
        <x:v>tiff/trace_net_page_element_registry_v1.py</x:v>
      </x:c>
      <x:c r="C396" s="69" t="str">
        <x:v>trace_net_page_element_registry_v1.py</x:v>
      </x:c>
      <x:c r="D396" s="69" t="str">
        <x:v>serving</x:v>
      </x:c>
      <x:c r="E396" s="69" t="str">
        <x:v>tables, benchmarks, shared, ingestion</x:v>
      </x:c>
      <x:c r="F396" s="69" t="str">
        <x:v>ingestion</x:v>
      </x:c>
      <x:c r="G396" s="69" t="str">
        <x:v>src/trace_net/ingestion/</x:v>
      </x:c>
      <x:c r="H396" s="69" t="str">
        <x:v>src/trace_net/ingestion/trace_net_page_element_registry_v1.py</x:v>
      </x:c>
      <x:c r="I396" s="69" t="str">
        <x:v>active library module</x:v>
      </x:c>
      <x:c r="J396" s="69" t="str">
        <x:v>MOVE_WITH_IMPORT_UPDATES_AND_COMPATIBILITY_WRAPPER</x:v>
      </x:c>
      <x:c r="K396" s="70" t="b">
        <x:v>1</x:v>
      </x:c>
      <x:c r="L396" s="70" t="b">
        <x:v>0</x:v>
      </x:c>
      <x:c r="M396" s="70" t="b">
        <x:v>1</x:v>
      </x:c>
      <x:c r="N396" s="69" t="n">
        <x:v>4</x:v>
      </x:c>
      <x:c r="O396" s="69" t="n">
        <x:v>0</x:v>
      </x:c>
      <x:c r="P396" s="69" t="str">
        <x:v>scripts/build_trace_net_page_element_registry_v1.py; scripts/check_trace_net_page_element_registry_v1_quality.py; tests/unit/test_trace_net_page_element_registry_v1.py; tests/unit/test_trace_net_page_element_registry_v1_quality.py</x:v>
      </x:c>
      <x:c r="Q396" s="71" t="n">
        <x:v>0.95</x:v>
      </x:c>
      <x:c r="R396" s="69" t="str">
        <x:v>ingestion/classification naming</x:v>
      </x:c>
      <x:c r="S396" s="69" t="str">
        <x:v>Primary implementation belongs to the ingestion stage based on filename, imports, and inventory evidence.</x:v>
      </x:c>
      <x:c r="T396" s="69" t="str">
        <x:v>Update imports and retain the old tiff module as a wrapper when callers exist.</x:v>
      </x:c>
      <x:c r="U396" s="69" t="str"/>
      <x:c r="V396" s="69" t="str"/>
      <x:c r="W396" s="69" t="str"/>
      <x:c r="X396" s="72" t="n">
        <x:v>56006</x:v>
      </x:c>
      <x:c r="Y396" s="70" t="b">
        <x:v>1</x:v>
      </x:c>
      <x:c r="Z396" s="69" t="str">
        <x:v>Compatibility required</x:v>
      </x:c>
      <x:c r="AA396" s="69" t="str">
        <x:v>https://github.com/jwild2027/heico-ai-internship-summer-2026/blob/srv/tiff/trace_net_page_element_registry_v1.py</x:v>
      </x:c>
      <x:c r="AB396" s="69" t="str">
        <x:v>shared &lt;= symbol:source_id, string:helper, string:schema; ingestion &lt;= path:tiff; ocr &lt;= symbol:fishnet, string:fishnet, string:ocr; visual &lt;= string:callout, string:diagram, string:vision, string:visual; tables &lt;= symbol:table, string:column, string:ipl, string:table; graph &lt;= symbol:graph, string:graph</x:v>
      </x:c>
    </x:row>
    <x:row r="397">
      <x:c r="A397" s="68" t="n">
        <x:v>396</x:v>
      </x:c>
      <x:c r="B397" s="69" t="str">
        <x:v>tiff/trace_net_page_ink_route_evidence_v1.py</x:v>
      </x:c>
      <x:c r="C397" s="69" t="str">
        <x:v>trace_net_page_ink_route_evidence_v1.py</x:v>
      </x:c>
      <x:c r="D397" s="69" t="str">
        <x:v>ingestion</x:v>
      </x:c>
      <x:c r="E397" s="69" t="str"/>
      <x:c r="F397" s="69" t="str">
        <x:v>ingestion</x:v>
      </x:c>
      <x:c r="G397" s="69" t="str">
        <x:v>src/trace_net/ingestion/</x:v>
      </x:c>
      <x:c r="H397" s="69" t="str">
        <x:v>src/trace_net/ingestion/trace_net_page_ink_route_evidence_v1.py</x:v>
      </x:c>
      <x:c r="I397" s="69" t="str">
        <x:v>active library module</x:v>
      </x:c>
      <x:c r="J397" s="69" t="str">
        <x:v>MOVE_WITH_IMPORT_UPDATES_AND_COMPATIBILITY_WRAPPER</x:v>
      </x:c>
      <x:c r="K397" s="70" t="b">
        <x:v>1</x:v>
      </x:c>
      <x:c r="L397" s="70" t="b">
        <x:v>0</x:v>
      </x:c>
      <x:c r="M397" s="70" t="b">
        <x:v>1</x:v>
      </x:c>
      <x:c r="N397" s="69" t="n">
        <x:v>2</x:v>
      </x:c>
      <x:c r="O397" s="69" t="n">
        <x:v>0</x:v>
      </x:c>
      <x:c r="P397" s="69" t="str">
        <x:v>scripts/build_trace_net_page_ink_route_evidence_v1.py; tests/unit/test_trace_net_page_ink_route_evidence_v1.py</x:v>
      </x:c>
      <x:c r="Q397" s="71" t="n">
        <x:v>0.95</x:v>
      </x:c>
      <x:c r="R397" s="69" t="str">
        <x:v>ingestion/classification naming</x:v>
      </x:c>
      <x:c r="S397" s="69" t="str">
        <x:v>Primary implementation belongs to the ingestion stage based on filename, imports, and inventory evidence.</x:v>
      </x:c>
      <x:c r="T397" s="69" t="str">
        <x:v>Update imports and retain the old tiff module as a wrapper when callers exist.</x:v>
      </x:c>
      <x:c r="U397" s="69" t="str"/>
      <x:c r="V397" s="69" t="str">
        <x:v>TRACE_NET_PAGE_INK_ROUTE_EVIDENCE_BUILT</x:v>
      </x:c>
      <x:c r="W397" s="69" t="str"/>
      <x:c r="X397" s="72" t="n">
        <x:v>32869</x:v>
      </x:c>
      <x:c r="Y397" s="70" t="b">
        <x:v>1</x:v>
      </x:c>
      <x:c r="Z397" s="69" t="str">
        <x:v>Compatibility required</x:v>
      </x:c>
      <x:c r="AA397" s="69" t="str">
        <x:v>https://github.com/jwild2027/heico-ai-internship-summer-2026/blob/srv/tiff/trace_net_page_ink_route_evidence_v1.py</x:v>
      </x:c>
      <x:c r="AB397" s="69" t="str">
        <x:v>shared &lt;= string:schema; ingestion &lt;= path:tiff, symbol:page_image, string:tiff; visual &lt;= string:diagram, string:image_visual, string:visual; tables &lt;= string:table; embeddings &lt;= string:qdrant; retrieval &lt;= string:opensearch</x:v>
      </x:c>
    </x:row>
    <x:row r="398">
      <x:c r="A398" s="68" t="n">
        <x:v>397</x:v>
      </x:c>
      <x:c r="B398" s="69" t="str">
        <x:v>tiff/trace_net_page_ink_route_evidence_v1_quality.py</x:v>
      </x:c>
      <x:c r="C398" s="69" t="str">
        <x:v>trace_net_page_ink_route_evidence_v1_quality.py</x:v>
      </x:c>
      <x:c r="D398" s="69" t="str">
        <x:v>ingestion</x:v>
      </x:c>
      <x:c r="E398" s="69" t="str">
        <x:v>benchmarks</x:v>
      </x:c>
      <x:c r="F398" s="69" t="str">
        <x:v>ingestion</x:v>
      </x:c>
      <x:c r="G398" s="69" t="str">
        <x:v>src/trace_net/ingestion/quality/</x:v>
      </x:c>
      <x:c r="H398" s="69" t="str">
        <x:v>src/trace_net/ingestion/quality/trace_net_page_ink_route_evidence_v1_quality.py</x:v>
      </x:c>
      <x:c r="I398" s="69" t="str">
        <x:v>quality validator module</x:v>
      </x:c>
      <x:c r="J398" s="69" t="str">
        <x:v>MOVE_WITH_IMPORT_UPDATES_AND_COMPATIBILITY_WRAPPER</x:v>
      </x:c>
      <x:c r="K398" s="70" t="b">
        <x:v>1</x:v>
      </x:c>
      <x:c r="L398" s="70" t="b">
        <x:v>0</x:v>
      </x:c>
      <x:c r="M398" s="70" t="b">
        <x:v>1</x:v>
      </x:c>
      <x:c r="N398" s="69" t="n">
        <x:v>2</x:v>
      </x:c>
      <x:c r="O398" s="69" t="n">
        <x:v>0</x:v>
      </x:c>
      <x:c r="P398" s="69" t="str">
        <x:v>scripts/check_trace_net_page_ink_route_evidence_v1_quality.py; tests/unit/test_trace_net_page_ink_route_evidence_v1_quality.py</x:v>
      </x:c>
      <x:c r="Q398" s="71" t="n">
        <x:v>0.97</x:v>
      </x:c>
      <x:c r="R398" s="69" t="str">
        <x:v>ingestion/classification naming</x:v>
      </x:c>
      <x:c r="S398" s="69" t="str">
        <x:v>Quality logic is reusable source code for the ingestion stage.</x:v>
      </x:c>
      <x:c r="T398" s="69" t="str">
        <x:v>Update test and script imports; retain the old tiff import as a thin wrapper until PASS.</x:v>
      </x:c>
      <x:c r="U398" s="69" t="str"/>
      <x:c r="V398" s="69" t="str"/>
      <x:c r="W398" s="69" t="str"/>
      <x:c r="X398" s="72" t="n">
        <x:v>7213</x:v>
      </x:c>
      <x:c r="Y398" s="70" t="b">
        <x:v>1</x:v>
      </x:c>
      <x:c r="Z398" s="69" t="str">
        <x:v>Compatibility required</x:v>
      </x:c>
      <x:c r="AA398" s="69" t="str">
        <x:v>https://github.com/jwild2027/heico-ai-internship-summer-2026/blob/srv/tiff/trace_net_page_ink_route_evidence_v1_quality.py</x:v>
      </x:c>
      <x:c r="AB398" s="69" t="str">
        <x:v>shared &lt;= string:schema; ingestion &lt;= path:tiff; serving &lt;= import:sse; benchmarks &lt;= symbol:eval; referenced_by_count=2; imported_by_count=2</x:v>
      </x:c>
    </x:row>
    <x:row r="399">
      <x:c r="A399" s="68" t="n">
        <x:v>398</x:v>
      </x:c>
      <x:c r="B399" s="69" t="str">
        <x:v>tiff/trace_net_page_query_response_dataset_v1.py</x:v>
      </x:c>
      <x:c r="C399" s="69" t="str">
        <x:v>trace_net_page_query_response_dataset_v1.py</x:v>
      </x:c>
      <x:c r="D399" s="69" t="str">
        <x:v>benchmarks</x:v>
      </x:c>
      <x:c r="E399" s="69" t="str">
        <x:v>shared, ingestion, context</x:v>
      </x:c>
      <x:c r="F399" s="69" t="str">
        <x:v>retrieval</x:v>
      </x:c>
      <x:c r="G399" s="69" t="str">
        <x:v>src/trace_net/retrieval/</x:v>
      </x:c>
      <x:c r="H399" s="69" t="str">
        <x:v>src/trace_net/retrieval/trace_net_page_query_response_dataset_v1.py</x:v>
      </x:c>
      <x:c r="I399" s="69" t="str">
        <x:v>artifact builder implementation</x:v>
      </x:c>
      <x:c r="J399" s="69" t="str">
        <x:v>MOVE_WITH_IMPORT_UPDATES_AND_COMPATIBILITY_WRAPPER</x:v>
      </x:c>
      <x:c r="K399" s="70" t="b">
        <x:v>1</x:v>
      </x:c>
      <x:c r="L399" s="70" t="b">
        <x:v>0</x:v>
      </x:c>
      <x:c r="M399" s="70" t="b">
        <x:v>1</x:v>
      </x:c>
      <x:c r="N399" s="69" t="n">
        <x:v>4</x:v>
      </x:c>
      <x:c r="O399" s="69" t="n">
        <x:v>0</x:v>
      </x:c>
      <x:c r="P399" s="69" t="str">
        <x:v>scripts/build_trace_net_page_query_response_dataset_v1.py; scripts/check_trace_net_page_query_response_dataset_v1_quality.py; tests/unit/test_trace_net_page_query_response_dataset_v1.py; tests/unit/test_trace_net_page_query_response_dataset_v1_quality.py</x:v>
      </x:c>
      <x:c r="Q399" s="71" t="n">
        <x:v>0.96</x:v>
      </x:c>
      <x:c r="R399" s="69" t="str">
        <x:v>retrieval/search naming</x:v>
      </x:c>
      <x:c r="S399" s="69" t="str">
        <x:v>Build implementation is imported by active wrappers/tests and belongs to the retrieval package.</x:v>
      </x:c>
      <x:c r="T399" s="69" t="str">
        <x:v>Update wrapper imports and compare generated artifact counts/checksums.</x:v>
      </x:c>
      <x:c r="U399" s="69" t="str"/>
      <x:c r="V399" s="69" t="str"/>
      <x:c r="W399" s="69" t="str"/>
      <x:c r="X399" s="72" t="n">
        <x:v>31905</x:v>
      </x:c>
      <x:c r="Y399" s="70" t="b">
        <x:v>1</x:v>
      </x:c>
      <x:c r="Z399" s="69" t="str">
        <x:v>Compatibility required</x:v>
      </x:c>
      <x:c r="AA399" s="69" t="str">
        <x:v>https://github.com/jwild2027/heico-ai-internship-summer-2026/blob/srv/tiff/trace_net_page_query_response_dataset_v1.py</x:v>
      </x:c>
      <x:c r="AB399" s="69" t="str">
        <x:v>shared &lt;= symbol:common, symbol:source_id, string:dublin_core, string:identifier, string:schema, string:source_id; ingestion &lt;= path:tiff; visual &lt;= string:diagram, string:vision, string:visual; tables &lt;= string:parts_list, string:table; graph &lt;= string:graph; embeddings &lt;= string:embedding, string:qdrant</x:v>
      </x:c>
    </x:row>
    <x:row r="400">
      <x:c r="A400" s="68" t="n">
        <x:v>399</x:v>
      </x:c>
      <x:c r="B400" s="69" t="str">
        <x:v>tiff/trace_net_page_query_response_source_cross_reference_v1.py</x:v>
      </x:c>
      <x:c r="C400" s="69" t="str">
        <x:v>trace_net_page_query_response_source_cross_reference_v1.py</x:v>
      </x:c>
      <x:c r="D400" s="69" t="str">
        <x:v>benchmarks</x:v>
      </x:c>
      <x:c r="E400" s="69" t="str">
        <x:v>ingestion, shared</x:v>
      </x:c>
      <x:c r="F400" s="69" t="str">
        <x:v>retrieval</x:v>
      </x:c>
      <x:c r="G400" s="69" t="str">
        <x:v>src/trace_net/retrieval/</x:v>
      </x:c>
      <x:c r="H400" s="69" t="str">
        <x:v>src/trace_net/retrieval/trace_net_page_query_response_source_cross_reference_v1.py</x:v>
      </x:c>
      <x:c r="I400" s="69" t="str">
        <x:v>active library module</x:v>
      </x:c>
      <x:c r="J400" s="69" t="str">
        <x:v>MOVE_WITH_IMPORT_UPDATES_AND_COMPATIBILITY_WRAPPER</x:v>
      </x:c>
      <x:c r="K400" s="70" t="b">
        <x:v>1</x:v>
      </x:c>
      <x:c r="L400" s="70" t="b">
        <x:v>0</x:v>
      </x:c>
      <x:c r="M400" s="70" t="b">
        <x:v>1</x:v>
      </x:c>
      <x:c r="N400" s="69" t="n">
        <x:v>4</x:v>
      </x:c>
      <x:c r="O400" s="69" t="n">
        <x:v>0</x:v>
      </x:c>
      <x:c r="P400" s="69" t="str">
        <x:v>scripts/build_trace_net_page_query_response_source_cross_reference_v1.py; scripts/check_trace_net_page_query_response_source_cross_reference_v1_quality.py; tests/unit/test_trace_net_page_query_response_source_cross_reference_v1.py; tests/unit/test_trace_net_page_query_response_source_cross_reference_v1_quality.py</x:v>
      </x:c>
      <x:c r="Q400" s="71" t="n">
        <x:v>0.95</x:v>
      </x:c>
      <x:c r="R400" s="69" t="str">
        <x:v>retrieval/search naming</x:v>
      </x:c>
      <x:c r="S400" s="69" t="str">
        <x:v>Primary implementation belongs to the retrieval stage based on filename, imports, and inventory evidence.</x:v>
      </x:c>
      <x:c r="T400" s="69" t="str">
        <x:v>Update imports and retain the old tiff module as a wrapper when callers exist.</x:v>
      </x:c>
      <x:c r="U400" s="69" t="str"/>
      <x:c r="V400" s="69" t="str"/>
      <x:c r="W400" s="69" t="str"/>
      <x:c r="X400" s="72" t="n">
        <x:v>35531</x:v>
      </x:c>
      <x:c r="Y400" s="70" t="b">
        <x:v>1</x:v>
      </x:c>
      <x:c r="Z400" s="69" t="str">
        <x:v>Compatibility required</x:v>
      </x:c>
      <x:c r="AA400" s="69" t="str">
        <x:v>https://github.com/jwild2027/heico-ai-internship-summer-2026/blob/srv/tiff/trace_net_page_query_response_source_cross_reference_v1.py</x:v>
      </x:c>
      <x:c r="AB400" s="69" t="str">
        <x:v>shared &lt;= symbol:common, string:schema, string:source_id; ingestion &lt;= path:tiff, string:tiff; graph &lt;= string:graph; embeddings &lt;= string:qdrant; retrieval &lt;= string:opensearch; validation &lt;= string:validation</x:v>
      </x:c>
    </x:row>
    <x:row r="401">
      <x:c r="A401" s="68" t="n">
        <x:v>400</x:v>
      </x:c>
      <x:c r="B401" s="69" t="str">
        <x:v>tiff/trace_net_page_query_response_tiff_content_audit_v1.py</x:v>
      </x:c>
      <x:c r="C401" s="69" t="str">
        <x:v>trace_net_page_query_response_tiff_content_audit_v1.py</x:v>
      </x:c>
      <x:c r="D401" s="69" t="str">
        <x:v>ingestion</x:v>
      </x:c>
      <x:c r="E401" s="69" t="str"/>
      <x:c r="F401" s="69" t="str">
        <x:v>retrieval</x:v>
      </x:c>
      <x:c r="G401" s="69" t="str">
        <x:v>src/trace_net/retrieval/</x:v>
      </x:c>
      <x:c r="H401" s="69" t="str">
        <x:v>src/trace_net/retrieval/trace_net_page_query_response_tiff_content_audit_v1.py</x:v>
      </x:c>
      <x:c r="I401" s="69" t="str">
        <x:v>active library module</x:v>
      </x:c>
      <x:c r="J401" s="69" t="str">
        <x:v>MOVE_WITH_PROTECTED_COMPATIBILITY_WRAPPER</x:v>
      </x:c>
      <x:c r="K401" s="70" t="b">
        <x:v>1</x:v>
      </x:c>
      <x:c r="L401" s="70" t="b">
        <x:v>1</x:v>
      </x:c>
      <x:c r="M401" s="70" t="b">
        <x:v>1</x:v>
      </x:c>
      <x:c r="N401" s="69" t="n">
        <x:v>4</x:v>
      </x:c>
      <x:c r="O401" s="69" t="n">
        <x:v>0</x:v>
      </x:c>
      <x:c r="P401" s="69" t="str">
        <x:v>scripts/build_trace_net_page_query_response_tiff_content_audit_v1.py; scripts/check_trace_net_page_query_response_tiff_content_audit_v1_quality.py; tests/unit/test_trace_net_page_query_response_tiff_content_audit_v1.py; tests/unit/test_trace_net_page_query_response_tiff_content_audit_v1_quality.py</x:v>
      </x:c>
      <x:c r="Q401" s="71" t="n">
        <x:v>0.95</x:v>
      </x:c>
      <x:c r="R401" s="69" t="str">
        <x:v>retrieval/search naming</x:v>
      </x:c>
      <x:c r="S401" s="69" t="str">
        <x:v>Primary implementation belongs to the retrieval stage based on filename, imports, and inventory evidence.</x:v>
      </x:c>
      <x:c r="T401" s="69" t="str">
        <x:v>Update imports and retain the old tiff module as a wrapper when callers exist.</x:v>
      </x:c>
      <x:c r="U401" s="69" t="str">
        <x:v>11434</x:v>
      </x:c>
      <x:c r="V401" s="69" t="str">
        <x:v>TRACE_NET_RESPONSE_TO_CHECK</x:v>
      </x:c>
      <x:c r="W401" s="69" t="str"/>
      <x:c r="X401" s="72" t="n">
        <x:v>50610</x:v>
      </x:c>
      <x:c r="Y401" s="70" t="b">
        <x:v>1</x:v>
      </x:c>
      <x:c r="Z401" s="69" t="str">
        <x:v>Protected runtime</x:v>
      </x:c>
      <x:c r="AA401" s="69" t="str">
        <x:v>https://github.com/jwild2027/heico-ai-internship-summer-2026/blob/srv/tiff/trace_net_page_query_response_tiff_content_audit_v1.py</x:v>
      </x:c>
      <x:c r="AB401" s="69" t="str">
        <x:v>shared &lt;= string:schema; ingestion &lt;= path:tiff, symbol:tiff, string:tiff; visual &lt;= symbol:vision, string:vision, string:visual; tables &lt;= string:column, string:table; embeddings &lt;= string:qdrant; retrieval &lt;= string:opensearch</x:v>
      </x:c>
    </x:row>
    <x:row r="402">
      <x:c r="A402" s="68" t="n">
        <x:v>401</x:v>
      </x:c>
      <x:c r="B402" s="69" t="str">
        <x:v>tiff/trace_net_page_retrieval_large_eval_v1.py</x:v>
      </x:c>
      <x:c r="C402" s="69" t="str">
        <x:v>trace_net_page_retrieval_large_eval_v1.py</x:v>
      </x:c>
      <x:c r="D402" s="69" t="str">
        <x:v>benchmarks</x:v>
      </x:c>
      <x:c r="E402" s="69" t="str">
        <x:v>retrieval, embeddings</x:v>
      </x:c>
      <x:c r="F402" s="69" t="str">
        <x:v>retrieval</x:v>
      </x:c>
      <x:c r="G402" s="69" t="str">
        <x:v>src/trace_net/retrieval/</x:v>
      </x:c>
      <x:c r="H402" s="69" t="str">
        <x:v>src/trace_net/retrieval/trace_net_page_retrieval_large_eval_v1.py</x:v>
      </x:c>
      <x:c r="I402" s="69" t="str">
        <x:v>active library module</x:v>
      </x:c>
      <x:c r="J402" s="69" t="str">
        <x:v>MOVE_WITH_PROTECTED_COMPATIBILITY_WRAPPER</x:v>
      </x:c>
      <x:c r="K402" s="70" t="b">
        <x:v>1</x:v>
      </x:c>
      <x:c r="L402" s="70" t="b">
        <x:v>1</x:v>
      </x:c>
      <x:c r="M402" s="70" t="b">
        <x:v>1</x:v>
      </x:c>
      <x:c r="N402" s="69" t="n">
        <x:v>4</x:v>
      </x:c>
      <x:c r="O402" s="69" t="n">
        <x:v>0</x:v>
      </x:c>
      <x:c r="P402" s="69" t="str">
        <x:v>scripts/build_trace_net_page_retrieval_large_eval_v1.py; scripts/check_trace_net_page_retrieval_large_eval_v1_quality.py; tests/unit/test_trace_net_page_retrieval_large_eval_v1.py; tests/unit/test_trace_net_page_retrieval_large_eval_v1_quality.py</x:v>
      </x:c>
      <x:c r="Q402" s="71" t="n">
        <x:v>0.95</x:v>
      </x:c>
      <x:c r="R402" s="69" t="str">
        <x:v>retrieval/search naming</x:v>
      </x:c>
      <x:c r="S402" s="69" t="str">
        <x:v>Primary implementation belongs to the retrieval stage based on filename, imports, and inventory evidence.</x:v>
      </x:c>
      <x:c r="T402" s="69" t="str">
        <x:v>Update imports and retain the old tiff module as a wrapper when callers exist.</x:v>
      </x:c>
      <x:c r="U402" s="69" t="str">
        <x:v>11434</x:v>
      </x:c>
      <x:c r="V402" s="69" t="str"/>
      <x:c r="W402" s="69" t="str">
        <x:v>tiff/trace_net_page_retrieval_large_eval_v2.py</x:v>
      </x:c>
      <x:c r="X402" s="72" t="n">
        <x:v>30208</x:v>
      </x:c>
      <x:c r="Y402" s="70" t="b">
        <x:v>1</x:v>
      </x:c>
      <x:c r="Z402" s="69" t="str">
        <x:v>Protected runtime</x:v>
      </x:c>
      <x:c r="AA402" s="69" t="str">
        <x:v>https://github.com/jwild2027/heico-ai-internship-summer-2026/blob/srv/tiff/trace_net_page_retrieval_large_eval_v1.py</x:v>
      </x:c>
      <x:c r="AB402" s="69" t="str">
        <x:v>shared &lt;= string:schema; ingestion &lt;= path:tiff; graph &lt;= string:has_context; embeddings &lt;= symbol:qdrant, import:qdrant, string:bge_m3, string:embedding, string:qdrant; retrieval &lt;= path:retriev, string:opensearch, string:retriev; context &lt;= string:page_context, string:source_trace</x:v>
      </x:c>
    </x:row>
    <x:row r="403">
      <x:c r="A403" s="68" t="n">
        <x:v>402</x:v>
      </x:c>
      <x:c r="B403" s="69" t="str">
        <x:v>tiff/trace_net_page_retrieval_large_eval_v2.py</x:v>
      </x:c>
      <x:c r="C403" s="69" t="str">
        <x:v>trace_net_page_retrieval_large_eval_v2.py</x:v>
      </x:c>
      <x:c r="D403" s="69" t="str">
        <x:v>benchmarks</x:v>
      </x:c>
      <x:c r="E403" s="69" t="str">
        <x:v>retrieval, embeddings</x:v>
      </x:c>
      <x:c r="F403" s="69" t="str">
        <x:v>retrieval</x:v>
      </x:c>
      <x:c r="G403" s="69" t="str">
        <x:v>src/trace_net/retrieval/</x:v>
      </x:c>
      <x:c r="H403" s="69" t="str">
        <x:v>src/trace_net/retrieval/trace_net_page_retrieval_large_eval_v2.py</x:v>
      </x:c>
      <x:c r="I403" s="69" t="str">
        <x:v>active library module</x:v>
      </x:c>
      <x:c r="J403" s="69" t="str">
        <x:v>MOVE_WITH_PROTECTED_COMPATIBILITY_WRAPPER</x:v>
      </x:c>
      <x:c r="K403" s="70" t="b">
        <x:v>1</x:v>
      </x:c>
      <x:c r="L403" s="70" t="b">
        <x:v>1</x:v>
      </x:c>
      <x:c r="M403" s="70" t="b">
        <x:v>1</x:v>
      </x:c>
      <x:c r="N403" s="69" t="n">
        <x:v>4</x:v>
      </x:c>
      <x:c r="O403" s="69" t="n">
        <x:v>0</x:v>
      </x:c>
      <x:c r="P403" s="69" t="str">
        <x:v>scripts/build_trace_net_page_retrieval_large_eval_v2.py; scripts/check_trace_net_page_retrieval_large_eval_v2_quality.py; tests/unit/test_trace_net_page_retrieval_large_eval_v2.py; tests/unit/test_trace_net_page_retrieval_large_eval_v2_quality.py</x:v>
      </x:c>
      <x:c r="Q403" s="71" t="n">
        <x:v>0.95</x:v>
      </x:c>
      <x:c r="R403" s="69" t="str">
        <x:v>retrieval/search naming</x:v>
      </x:c>
      <x:c r="S403" s="69" t="str">
        <x:v>Primary implementation belongs to the retrieval stage based on filename, imports, and inventory evidence.</x:v>
      </x:c>
      <x:c r="T403" s="69" t="str">
        <x:v>Update imports and retain the old tiff module as a wrapper when callers exist.</x:v>
      </x:c>
      <x:c r="U403" s="69" t="str">
        <x:v>11434</x:v>
      </x:c>
      <x:c r="V403" s="69" t="str"/>
      <x:c r="W403" s="69" t="str"/>
      <x:c r="X403" s="72" t="n">
        <x:v>60839</x:v>
      </x:c>
      <x:c r="Y403" s="70" t="b">
        <x:v>1</x:v>
      </x:c>
      <x:c r="Z403" s="69" t="str">
        <x:v>Protected runtime</x:v>
      </x:c>
      <x:c r="AA403" s="69" t="str">
        <x:v>https://github.com/jwild2027/heico-ai-internship-summer-2026/blob/srv/tiff/trace_net_page_retrieval_large_eval_v2.py</x:v>
      </x:c>
      <x:c r="AB403" s="69" t="str">
        <x:v>shared &lt;= string:contract, string:dublin_core, string:schema, string:source_id; ingestion &lt;= path:tiff; tables &lt;= symbol:table, string:table; graph &lt;= symbol:graph, string:graph, string:has_context; embeddings &lt;= symbol:embedding, symbol:qdrant, import:qdrant, string:bge_m3, string:embedding, string:qdrant; retrieval &lt;= path:retriev, string:opensearch, string:retriev</x:v>
      </x:c>
    </x:row>
    <x:row r="404">
      <x:c r="A404" s="68" t="n">
        <x:v>403</x:v>
      </x:c>
      <x:c r="B404" s="69" t="str">
        <x:v>tiff/trace_net_page_retrieval_profiles_v1.py</x:v>
      </x:c>
      <x:c r="C404" s="69" t="str">
        <x:v>trace_net_page_retrieval_profiles_v1.py</x:v>
      </x:c>
      <x:c r="D404" s="69" t="str">
        <x:v>retrieval</x:v>
      </x:c>
      <x:c r="E404" s="69" t="str">
        <x:v>benchmarks, embeddings, serving, tables</x:v>
      </x:c>
      <x:c r="F404" s="69" t="str">
        <x:v>retrieval</x:v>
      </x:c>
      <x:c r="G404" s="69" t="str">
        <x:v>src/trace_net/retrieval/</x:v>
      </x:c>
      <x:c r="H404" s="69" t="str">
        <x:v>src/trace_net/retrieval/trace_net_page_retrieval_profiles_v1.py</x:v>
      </x:c>
      <x:c r="I404" s="69" t="str">
        <x:v>active library module</x:v>
      </x:c>
      <x:c r="J404" s="69" t="str">
        <x:v>MOVE_WITH_PROTECTED_COMPATIBILITY_WRAPPER</x:v>
      </x:c>
      <x:c r="K404" s="70" t="b">
        <x:v>1</x:v>
      </x:c>
      <x:c r="L404" s="70" t="b">
        <x:v>1</x:v>
      </x:c>
      <x:c r="M404" s="70" t="b">
        <x:v>1</x:v>
      </x:c>
      <x:c r="N404" s="69" t="n">
        <x:v>6</x:v>
      </x:c>
      <x:c r="O404" s="69" t="n">
        <x:v>0</x:v>
      </x:c>
      <x:c r="P404" s="69" t="str">
        <x:v>scripts/build_trace_net_page_retrieval_profiles_v1.py; scripts/check_trace_net_page_retrieval_profiles_qdrant_v1_quality.py; scripts/check_trace_net_page_retrieval_profiles_v1_quality.py; scripts/load_trace_net_page_retrieval_profiles_qdrant_v1.py; tests/unit/test_trace_net_page_retrieval_profiles_qdrant_v1_quality.py; tests/unit/test_trace_net_page_retrieval_profiles_v1.py</x:v>
      </x:c>
      <x:c r="Q404" s="71" t="n">
        <x:v>0.95</x:v>
      </x:c>
      <x:c r="R404" s="69" t="str">
        <x:v>retrieval/search naming</x:v>
      </x:c>
      <x:c r="S404" s="69" t="str">
        <x:v>Primary implementation belongs to the retrieval stage based on filename, imports, and inventory evidence.</x:v>
      </x:c>
      <x:c r="T404" s="69" t="str">
        <x:v>Update imports and retain the old tiff module as a wrapper when callers exist.</x:v>
      </x:c>
      <x:c r="U404" s="69" t="str">
        <x:v>11434</x:v>
      </x:c>
      <x:c r="V404" s="69" t="str">
        <x:v>TRACE_NET_DATABASE_URL, TRACE_NET_EMBEDDING_DEVICE, TRACE_NET_EMBEDDING_DIM, TRACE_NET_EMBEDDING_MODEL, TRACE_NET_OLLAMA_EMBED_ENDPOINT, TRACE_NET_OLLAMA_TIMEOUT, TRACE_NET_OLLAMA_URL</x:v>
      </x:c>
      <x:c r="W404" s="69" t="str"/>
      <x:c r="X404" s="72" t="n">
        <x:v>107222</x:v>
      </x:c>
      <x:c r="Y404" s="70" t="b">
        <x:v>1</x:v>
      </x:c>
      <x:c r="Z404" s="69" t="str">
        <x:v>Protected runtime</x:v>
      </x:c>
      <x:c r="AA404" s="69" t="str">
        <x:v>https://github.com/jwild2027/heico-ai-internship-summer-2026/blob/srv/tiff/trace_net_page_retrieval_profiles_v1.py</x:v>
      </x:c>
      <x:c r="AB404" s="69" t="str">
        <x:v>shared &lt;= string:helper, string:schema, string:trust_tier; ingestion &lt;= path:tiff; tables &lt;= symbol:column, symbol:table, symbol:table_row; graph &lt;= symbol:graph, string:graph; embeddings &lt;= symbol:embedding, symbol:qdrant, string:bge_m3, string:embedding, string:embedding_candidate, string:qdrant, environment:embedding; retrieval &lt;= path:retriev, symbol:retriev, string:candidate_discovery, string:retriev, string:source_resolution, string:tunnel</x:v>
      </x:c>
    </x:row>
    <x:row r="405">
      <x:c r="A405" s="68" t="n">
        <x:v>404</x:v>
      </x:c>
      <x:c r="B405" s="69" t="str">
        <x:v>tiff/trace_net_page_route_manifest_v1.py</x:v>
      </x:c>
      <x:c r="C405" s="69" t="str">
        <x:v>trace_net_page_route_manifest_v1.py</x:v>
      </x:c>
      <x:c r="D405" s="69" t="str">
        <x:v>ingestion</x:v>
      </x:c>
      <x:c r="E405" s="69" t="str">
        <x:v>tables</x:v>
      </x:c>
      <x:c r="F405" s="69" t="str">
        <x:v>ingestion</x:v>
      </x:c>
      <x:c r="G405" s="69" t="str">
        <x:v>src/trace_net/ingestion/</x:v>
      </x:c>
      <x:c r="H405" s="69" t="str">
        <x:v>src/trace_net/ingestion/trace_net_page_route_manifest_v1.py</x:v>
      </x:c>
      <x:c r="I405" s="69" t="str">
        <x:v>artifact builder implementation</x:v>
      </x:c>
      <x:c r="J405" s="69" t="str">
        <x:v>MOVE_WITH_IMPORT_UPDATES_AND_COMPATIBILITY_WRAPPER</x:v>
      </x:c>
      <x:c r="K405" s="70" t="b">
        <x:v>1</x:v>
      </x:c>
      <x:c r="L405" s="70" t="b">
        <x:v>0</x:v>
      </x:c>
      <x:c r="M405" s="70" t="b">
        <x:v>1</x:v>
      </x:c>
      <x:c r="N405" s="69" t="n">
        <x:v>2</x:v>
      </x:c>
      <x:c r="O405" s="69" t="n">
        <x:v>0</x:v>
      </x:c>
      <x:c r="P405" s="69" t="str">
        <x:v>scripts/build_trace_net_page_route_manifest_v1.py; tests/unit/test_trace_net_page_route_manifest_v1.py</x:v>
      </x:c>
      <x:c r="Q405" s="71" t="n">
        <x:v>0.96</x:v>
      </x:c>
      <x:c r="R405" s="69" t="str">
        <x:v>ingestion/classification naming</x:v>
      </x:c>
      <x:c r="S405" s="69" t="str">
        <x:v>Build implementation is imported by active wrappers/tests and belongs to the ingestion package.</x:v>
      </x:c>
      <x:c r="T405" s="69" t="str">
        <x:v>Update wrapper imports and compare generated artifact counts/checksums.</x:v>
      </x:c>
      <x:c r="U405" s="69" t="str"/>
      <x:c r="V405" s="69" t="str">
        <x:v>TRACE_NET_PAGE_ROUTE_MANIFEST_BUILT</x:v>
      </x:c>
      <x:c r="W405" s="69" t="str"/>
      <x:c r="X405" s="72" t="n">
        <x:v>36156</x:v>
      </x:c>
      <x:c r="Y405" s="70" t="b">
        <x:v>1</x:v>
      </x:c>
      <x:c r="Z405" s="69" t="str">
        <x:v>Compatibility required</x:v>
      </x:c>
      <x:c r="AA405" s="69" t="str">
        <x:v>https://github.com/jwild2027/heico-ai-internship-summer-2026/blob/srv/tiff/trace_net_page_route_manifest_v1.py</x:v>
      </x:c>
      <x:c r="AB405" s="69" t="str">
        <x:v>shared &lt;= string:schema; ingestion &lt;= path:tiff, import:tiff, string:tiff; ocr &lt;= string:ocr; visual &lt;= string:diagram, string:image_visual, string:visual; tables &lt;= symbol:table, string:table; embeddings &lt;= string:qdrant</x:v>
      </x:c>
    </x:row>
    <x:row r="406">
      <x:c r="A406" s="68" t="n">
        <x:v>405</x:v>
      </x:c>
      <x:c r="B406" s="69" t="str">
        <x:v>tiff/trace_net_page_route_manifest_v1_quality.py</x:v>
      </x:c>
      <x:c r="C406" s="69" t="str">
        <x:v>trace_net_page_route_manifest_v1_quality.py</x:v>
      </x:c>
      <x:c r="D406" s="69" t="str">
        <x:v>ingestion</x:v>
      </x:c>
      <x:c r="E406" s="69" t="str">
        <x:v>benchmarks</x:v>
      </x:c>
      <x:c r="F406" s="69" t="str">
        <x:v>ingestion</x:v>
      </x:c>
      <x:c r="G406" s="69" t="str">
        <x:v>src/trace_net/ingestion/quality/</x:v>
      </x:c>
      <x:c r="H406" s="69" t="str">
        <x:v>src/trace_net/ingestion/quality/trace_net_page_route_manifest_v1_quality.py</x:v>
      </x:c>
      <x:c r="I406" s="69" t="str">
        <x:v>quality validator module</x:v>
      </x:c>
      <x:c r="J406" s="69" t="str">
        <x:v>MOVE_WITH_IMPORT_UPDATES_AND_COMPATIBILITY_WRAPPER</x:v>
      </x:c>
      <x:c r="K406" s="70" t="b">
        <x:v>1</x:v>
      </x:c>
      <x:c r="L406" s="70" t="b">
        <x:v>0</x:v>
      </x:c>
      <x:c r="M406" s="70" t="b">
        <x:v>1</x:v>
      </x:c>
      <x:c r="N406" s="69" t="n">
        <x:v>4</x:v>
      </x:c>
      <x:c r="O406" s="69" t="n">
        <x:v>0</x:v>
      </x:c>
      <x:c r="P406" s="69" t="str">
        <x:v>scripts/check_trace_net_page_route_manifest_v1_quality.py; tests/unit/test_trace_net_page_route_manifest_v1.py; tests/unit/test_trace_net_page_route_manifest_v1_quality.py; tiff/trace_net_page_route_manifest_v1.py</x:v>
      </x:c>
      <x:c r="Q406" s="71" t="n">
        <x:v>0.97</x:v>
      </x:c>
      <x:c r="R406" s="69" t="str">
        <x:v>ingestion/classification naming</x:v>
      </x:c>
      <x:c r="S406" s="69" t="str">
        <x:v>Quality logic is reusable source code for the ingestion stage.</x:v>
      </x:c>
      <x:c r="T406" s="69" t="str">
        <x:v>Update test and script imports; retain the old tiff import as a thin wrapper until PASS.</x:v>
      </x:c>
      <x:c r="U406" s="69" t="str"/>
      <x:c r="V406" s="69" t="str"/>
      <x:c r="W406" s="69" t="str"/>
      <x:c r="X406" s="72" t="n">
        <x:v>4814</x:v>
      </x:c>
      <x:c r="Y406" s="70" t="b">
        <x:v>1</x:v>
      </x:c>
      <x:c r="Z406" s="69" t="str">
        <x:v>Compatibility required</x:v>
      </x:c>
      <x:c r="AA406" s="69" t="str">
        <x:v>https://github.com/jwild2027/heico-ai-internship-summer-2026/blob/srv/tiff/trace_net_page_route_manifest_v1_quality.py</x:v>
      </x:c>
      <x:c r="AB406" s="69" t="str">
        <x:v>shared &lt;= string:schema; ingestion &lt;= path:tiff; tables &lt;= string:table; router &lt;= string:routing; serving &lt;= import:sse; benchmarks &lt;= symbol:eval</x:v>
      </x:c>
    </x:row>
    <x:row r="407">
      <x:c r="A407" s="68" t="n">
        <x:v>406</x:v>
      </x:c>
      <x:c r="B407" s="69" t="str">
        <x:v>tiff/trace_net_part_family_fast_answer_composer_v1.py</x:v>
      </x:c>
      <x:c r="C407" s="69" t="str">
        <x:v>trace_net_part_family_fast_answer_composer_v1.py</x:v>
      </x:c>
      <x:c r="D407" s="69" t="str">
        <x:v>ingestion</x:v>
      </x:c>
      <x:c r="E407" s="69" t="str"/>
      <x:c r="F407" s="69" t="str">
        <x:v>writing</x:v>
      </x:c>
      <x:c r="G407" s="69" t="str">
        <x:v>src/trace_net/writing/</x:v>
      </x:c>
      <x:c r="H407" s="69" t="str">
        <x:v>src/trace_net/writing/trace_net_part_family_fast_answer_composer_v1.py</x:v>
      </x:c>
      <x:c r="I407" s="69" t="str">
        <x:v>active library module</x:v>
      </x:c>
      <x:c r="J407" s="69" t="str">
        <x:v>MOVE_WITH_IMPORT_UPDATES_AND_COMPATIBILITY_WRAPPER</x:v>
      </x:c>
      <x:c r="K407" s="70" t="b">
        <x:v>1</x:v>
      </x:c>
      <x:c r="L407" s="70" t="b">
        <x:v>0</x:v>
      </x:c>
      <x:c r="M407" s="70" t="b">
        <x:v>1</x:v>
      </x:c>
      <x:c r="N407" s="69" t="n">
        <x:v>4</x:v>
      </x:c>
      <x:c r="O407" s="69" t="n">
        <x:v>0</x:v>
      </x:c>
      <x:c r="P407" s="69" t="str">
        <x:v>scripts/build_trace_net_part_family_fast_answer_composer_v1.py; scripts/check_trace_net_part_family_fast_answer_composer_v1_quality.py; tests/unit/test_trace_net_part_family_fast_answer_composer_v1.py; tests/unit/test_trace_net_part_family_fast_answer_composer_v1_quality.py</x:v>
      </x:c>
      <x:c r="Q407" s="71" t="n">
        <x:v>0.95</x:v>
      </x:c>
      <x:c r="R407" s="69" t="str">
        <x:v>answer/writer naming</x:v>
      </x:c>
      <x:c r="S407" s="69" t="str">
        <x:v>Primary implementation belongs to the writing stage based on filename, imports, and inventory evidence.</x:v>
      </x:c>
      <x:c r="T407" s="69" t="str">
        <x:v>Update imports and retain the old tiff module as a wrapper when callers exist.</x:v>
      </x:c>
      <x:c r="U407" s="69" t="str"/>
      <x:c r="V407" s="69" t="str">
        <x:v>TRACE_NET_PART_FAMILY_FAST_ANSWER_COMPOSER_BUILT</x:v>
      </x:c>
      <x:c r="W407" s="69" t="str"/>
      <x:c r="X407" s="72" t="n">
        <x:v>21581</x:v>
      </x:c>
      <x:c r="Y407" s="70" t="b">
        <x:v>1</x:v>
      </x:c>
      <x:c r="Z407" s="69" t="str">
        <x:v>Compatibility required</x:v>
      </x:c>
      <x:c r="AA407" s="69" t="str">
        <x:v>https://github.com/jwild2027/heico-ai-internship-summer-2026/blob/srv/tiff/trace_net_part_family_fast_answer_composer_v1.py</x:v>
      </x:c>
      <x:c r="AB407" s="69" t="str">
        <x:v>ingestion &lt;= path:tiff; graph &lt;= string:community, string:leiden; embeddings &lt;= string:qdrant; retrieval &lt;= string:opensearch; context &lt;= string:context_pack; benchmarks &lt;= string:quality_check</x:v>
      </x:c>
    </x:row>
    <x:row r="408">
      <x:c r="A408" s="68" t="n">
        <x:v>407</x:v>
      </x:c>
      <x:c r="B408" s="69" t="str">
        <x:v>tiff/trace_net_part_number_exact_retrieval_probe_v1.py</x:v>
      </x:c>
      <x:c r="C408" s="69" t="str">
        <x:v>trace_net_part_number_exact_retrieval_probe_v1.py</x:v>
      </x:c>
      <x:c r="D408" s="69" t="str">
        <x:v>retrieval</x:v>
      </x:c>
      <x:c r="E408" s="69" t="str">
        <x:v>benchmarks, ingestion</x:v>
      </x:c>
      <x:c r="F408" s="69" t="str">
        <x:v>retrieval</x:v>
      </x:c>
      <x:c r="G408" s="69" t="str">
        <x:v>src/trace_net/retrieval/</x:v>
      </x:c>
      <x:c r="H408" s="69" t="str">
        <x:v>src/trace_net/retrieval/trace_net_part_number_exact_retrieval_probe_v1.py</x:v>
      </x:c>
      <x:c r="I408" s="69" t="str">
        <x:v>active library module</x:v>
      </x:c>
      <x:c r="J408" s="69" t="str">
        <x:v>MOVE_WITH_IMPORT_UPDATES_AND_COMPATIBILITY_WRAPPER</x:v>
      </x:c>
      <x:c r="K408" s="70" t="b">
        <x:v>1</x:v>
      </x:c>
      <x:c r="L408" s="70" t="b">
        <x:v>0</x:v>
      </x:c>
      <x:c r="M408" s="70" t="b">
        <x:v>1</x:v>
      </x:c>
      <x:c r="N408" s="69" t="n">
        <x:v>5</x:v>
      </x:c>
      <x:c r="O408" s="69" t="n">
        <x:v>0</x:v>
      </x:c>
      <x:c r="P408" s="69" t="str">
        <x:v>scripts/build_trace_net_part_number_exact_retrieval_probe_v1.py; scripts/check_trace_net_part_number_exact_retrieval_probe_v1_quality.py; tests/unit/test_trace_net_part_number_exact_retrieval_probe_v1.py; tests/unit/test_trace_net_part_number_exact_retrieval_probe_v1_quality.py; tiff/trace_net_raw_to_answer_context_engineered_native_v1.py</x:v>
      </x:c>
      <x:c r="Q408" s="71" t="n">
        <x:v>0.95</x:v>
      </x:c>
      <x:c r="R408" s="69" t="str">
        <x:v>retrieval/search naming</x:v>
      </x:c>
      <x:c r="S408" s="69" t="str">
        <x:v>Primary implementation belongs to the retrieval stage based on filename, imports, and inventory evidence.</x:v>
      </x:c>
      <x:c r="T408" s="69" t="str">
        <x:v>Update imports and retain the old tiff module as a wrapper when callers exist.</x:v>
      </x:c>
      <x:c r="U408" s="69" t="str"/>
      <x:c r="V408" s="69" t="str">
        <x:v>TRACE_NET_PART_NUMBER_EXACT_RETRIEVAL_PROBE_BUILT</x:v>
      </x:c>
      <x:c r="W408" s="69" t="str"/>
      <x:c r="X408" s="72" t="n">
        <x:v>30002</x:v>
      </x:c>
      <x:c r="Y408" s="70" t="b">
        <x:v>1</x:v>
      </x:c>
      <x:c r="Z408" s="69" t="str">
        <x:v>Compatibility required</x:v>
      </x:c>
      <x:c r="AA408" s="69" t="str">
        <x:v>https://github.com/jwild2027/heico-ai-internship-summer-2026/blob/srv/tiff/trace_net_part_number_exact_retrieval_probe_v1.py</x:v>
      </x:c>
      <x:c r="AB408" s="69" t="str">
        <x:v>shared &lt;= string:contract; ingestion &lt;= path:tiff, string:scan_pack, string:tiff; ocr &lt;= string:ocr; tables &lt;= string:table; graph &lt;= string:graph, string:leiden; embeddings &lt;= string:qdrant</x:v>
      </x:c>
    </x:row>
    <x:row r="409">
      <x:c r="A409" s="68" t="n">
        <x:v>408</x:v>
      </x:c>
      <x:c r="B409" s="69" t="str">
        <x:v>tiff/trace_net_postgres_context_overlay.py</x:v>
      </x:c>
      <x:c r="C409" s="69" t="str">
        <x:v>trace_net_postgres_context_overlay.py</x:v>
      </x:c>
      <x:c r="D409" s="69" t="str">
        <x:v>ingestion</x:v>
      </x:c>
      <x:c r="E409" s="69" t="str">
        <x:v>tables</x:v>
      </x:c>
      <x:c r="F409" s="69" t="str">
        <x:v>graph</x:v>
      </x:c>
      <x:c r="G409" s="69" t="str">
        <x:v>src/trace_net/graph/</x:v>
      </x:c>
      <x:c r="H409" s="69" t="str">
        <x:v>src/trace_net/graph/trace_net_postgres_context_overlay.py</x:v>
      </x:c>
      <x:c r="I409" s="69" t="str">
        <x:v>active library module</x:v>
      </x:c>
      <x:c r="J409" s="69" t="str">
        <x:v>MOVE_WITH_IMPORT_UPDATES_AND_COMPATIBILITY_WRAPPER</x:v>
      </x:c>
      <x:c r="K409" s="70" t="b">
        <x:v>1</x:v>
      </x:c>
      <x:c r="L409" s="70" t="b">
        <x:v>0</x:v>
      </x:c>
      <x:c r="M409" s="70" t="b">
        <x:v>1</x:v>
      </x:c>
      <x:c r="N409" s="69" t="n">
        <x:v>3</x:v>
      </x:c>
      <x:c r="O409" s="69" t="n">
        <x:v>0</x:v>
      </x:c>
      <x:c r="P409" s="69" t="str">
        <x:v>scripts/check_trace_net_postgres_context_overlay_quality.py; scripts/load_trace_net_postgres_context_overlay.py; tests/unit/test_trace_net_postgres_context_overlay.py</x:v>
      </x:c>
      <x:c r="Q409" s="71" t="n">
        <x:v>0.95</x:v>
      </x:c>
      <x:c r="R409" s="69" t="str">
        <x:v>graph/Leiden/Postgres naming</x:v>
      </x:c>
      <x:c r="S409" s="69" t="str">
        <x:v>Primary implementation belongs to the graph stage based on filename, imports, and inventory evidence.</x:v>
      </x:c>
      <x:c r="T409" s="69" t="str">
        <x:v>Update imports and retain the old tiff module as a wrapper when callers exist.</x:v>
      </x:c>
      <x:c r="U409" s="69" t="str"/>
      <x:c r="V409" s="69" t="str">
        <x:v>TRACE_NET_PG_DSN</x:v>
      </x:c>
      <x:c r="W409" s="69" t="str"/>
      <x:c r="X409" s="72" t="n">
        <x:v>25871</x:v>
      </x:c>
      <x:c r="Y409" s="70" t="b">
        <x:v>1</x:v>
      </x:c>
      <x:c r="Z409" s="69" t="str">
        <x:v>Compatibility required</x:v>
      </x:c>
      <x:c r="AA409" s="69" t="str">
        <x:v>https://github.com/jwild2027/heico-ai-internship-summer-2026/blob/srv/tiff/trace_net_postgres_context_overlay.py</x:v>
      </x:c>
      <x:c r="AB409" s="69" t="str">
        <x:v>shared &lt;= string:schema; ingestion &lt;= path:tiff; tables &lt;= symbol:table, string:table; retrieval &lt;= string:retriev; benchmarks &lt;= string:eval; operations &lt;= string:install</x:v>
      </x:c>
    </x:row>
    <x:row r="410">
      <x:c r="A410" s="68" t="n">
        <x:v>409</x:v>
      </x:c>
      <x:c r="B410" s="69" t="str">
        <x:v>tiff/trace_net_postgres_graph_audit.py</x:v>
      </x:c>
      <x:c r="C410" s="69" t="str">
        <x:v>trace_net_postgres_graph_audit.py</x:v>
      </x:c>
      <x:c r="D410" s="69" t="str">
        <x:v>graph</x:v>
      </x:c>
      <x:c r="E410" s="69" t="str">
        <x:v>ingestion</x:v>
      </x:c>
      <x:c r="F410" s="69" t="str">
        <x:v>graph</x:v>
      </x:c>
      <x:c r="G410" s="69" t="str">
        <x:v>src/trace_net/graph/</x:v>
      </x:c>
      <x:c r="H410" s="69" t="str">
        <x:v>src/trace_net/graph/trace_net_postgres_graph_audit.py</x:v>
      </x:c>
      <x:c r="I410" s="69" t="str">
        <x:v>active library module</x:v>
      </x:c>
      <x:c r="J410" s="69" t="str">
        <x:v>MOVE_WITH_IMPORT_UPDATES_AND_COMPATIBILITY_WRAPPER</x:v>
      </x:c>
      <x:c r="K410" s="70" t="b">
        <x:v>1</x:v>
      </x:c>
      <x:c r="L410" s="70" t="b">
        <x:v>0</x:v>
      </x:c>
      <x:c r="M410" s="70" t="b">
        <x:v>1</x:v>
      </x:c>
      <x:c r="N410" s="69" t="n">
        <x:v>3</x:v>
      </x:c>
      <x:c r="O410" s="69" t="n">
        <x:v>0</x:v>
      </x:c>
      <x:c r="P410" s="69" t="str">
        <x:v>scripts/audit_trace_net_postgres_graph.py; tests/unit/test_tiff_trace_net_graph_audit.py; tiff/trace_net_pre_algorithm_baseline.py</x:v>
      </x:c>
      <x:c r="Q410" s="71" t="n">
        <x:v>0.95</x:v>
      </x:c>
      <x:c r="R410" s="69" t="str">
        <x:v>graph/Leiden/Postgres naming</x:v>
      </x:c>
      <x:c r="S410" s="69" t="str">
        <x:v>Primary implementation belongs to the graph stage based on filename, imports, and inventory evidence.</x:v>
      </x:c>
      <x:c r="T410" s="69" t="str">
        <x:v>Update imports and retain the old tiff module as a wrapper when callers exist.</x:v>
      </x:c>
      <x:c r="U410" s="69" t="str"/>
      <x:c r="V410" s="69" t="str">
        <x:v>TRACE_NET_DATABASE_URL</x:v>
      </x:c>
      <x:c r="W410" s="69" t="str"/>
      <x:c r="X410" s="72" t="n">
        <x:v>20524</x:v>
      </x:c>
      <x:c r="Y410" s="70" t="b">
        <x:v>1</x:v>
      </x:c>
      <x:c r="Z410" s="69" t="str">
        <x:v>Compatibility required</x:v>
      </x:c>
      <x:c r="AA410" s="69" t="str">
        <x:v>https://github.com/jwild2027/heico-ai-internship-summer-2026/blob/srv/tiff/trace_net_postgres_graph_audit.py</x:v>
      </x:c>
      <x:c r="AB410" s="69" t="str">
        <x:v>shared &lt;= string:source_id, string:trust_tier; ingestion &lt;= path:tiff, string:tiff; ocr &lt;= string:ocr; tables &lt;= string:column, string:table; graph &lt;= path:graph, symbol:graph, string:graph; embeddings &lt;= string:candidate_chunk, string:rag_candidate</x:v>
      </x:c>
    </x:row>
    <x:row r="411">
      <x:c r="A411" s="68" t="n">
        <x:v>410</x:v>
      </x:c>
      <x:c r="B411" s="69" t="str">
        <x:v>tiff/trace_net_postgres_loader.py</x:v>
      </x:c>
      <x:c r="C411" s="69" t="str">
        <x:v>trace_net_postgres_loader.py</x:v>
      </x:c>
      <x:c r="D411" s="69" t="str">
        <x:v>operations</x:v>
      </x:c>
      <x:c r="E411" s="69" t="str">
        <x:v>ingestion, shared, ocr</x:v>
      </x:c>
      <x:c r="F411" s="69" t="str">
        <x:v>graph</x:v>
      </x:c>
      <x:c r="G411" s="69" t="str">
        <x:v>src/trace_net/graph/</x:v>
      </x:c>
      <x:c r="H411" s="69" t="str">
        <x:v>src/trace_net/graph/trace_net_postgres_loader.py</x:v>
      </x:c>
      <x:c r="I411" s="69" t="str">
        <x:v>data/storage integration module</x:v>
      </x:c>
      <x:c r="J411" s="69" t="str">
        <x:v>MOVE_WITH_IMPORT_UPDATES_AND_COMPATIBILITY_WRAPPER</x:v>
      </x:c>
      <x:c r="K411" s="70" t="b">
        <x:v>1</x:v>
      </x:c>
      <x:c r="L411" s="70" t="b">
        <x:v>0</x:v>
      </x:c>
      <x:c r="M411" s="70" t="b">
        <x:v>1</x:v>
      </x:c>
      <x:c r="N411" s="69" t="n">
        <x:v>4</x:v>
      </x:c>
      <x:c r="O411" s="69" t="n">
        <x:v>0</x:v>
      </x:c>
      <x:c r="P411" s="69" t="str">
        <x:v>scripts/init_trace_net_postgres.py; scripts/load_trace_net_postgres.py; tests/unit/test_tiff_trace_net_postgres_loader.py; tiff/trace_net_postgres_quality.py</x:v>
      </x:c>
      <x:c r="Q411" s="71" t="n">
        <x:v>0.95</x:v>
      </x:c>
      <x:c r="R411" s="69" t="str">
        <x:v>graph/Leiden/Postgres naming</x:v>
      </x:c>
      <x:c r="S411" s="69" t="str">
        <x:v>Loader/writeback logic is imported by active scripts or tests.</x:v>
      </x:c>
      <x:c r="T411" s="69" t="str">
        <x:v>Preserve lineage, dry-run defaults, and source-truth mutation gates.</x:v>
      </x:c>
      <x:c r="U411" s="69" t="str"/>
      <x:c r="V411" s="69" t="str">
        <x:v>TRACE_NET_DATABASE_URL</x:v>
      </x:c>
      <x:c r="W411" s="69" t="str"/>
      <x:c r="X411" s="72" t="n">
        <x:v>41026</x:v>
      </x:c>
      <x:c r="Y411" s="70" t="b">
        <x:v>1</x:v>
      </x:c>
      <x:c r="Z411" s="69" t="str">
        <x:v>Compatibility required</x:v>
      </x:c>
      <x:c r="AA411" s="69" t="str">
        <x:v>https://github.com/jwild2027/heico-ai-internship-summer-2026/blob/srv/tiff/trace_net_postgres_loader.py</x:v>
      </x:c>
      <x:c r="AB411" s="69" t="str">
        <x:v>shared &lt;= symbol:schema, string:schema, string:source_id, string:trust_tier; ingestion &lt;= path:tiff, string:tiff; ocr &lt;= symbol:ocr, string:ocr, string:psm; tables &lt;= symbol:table, string:table; graph &lt;= symbol:graph, string:graph; embeddings &lt;= string:candidate_chunk, string:qdrant, string:rag_candidate</x:v>
      </x:c>
    </x:row>
    <x:row r="412">
      <x:c r="A412" s="68" t="n">
        <x:v>411</x:v>
      </x:c>
      <x:c r="B412" s="69" t="str">
        <x:v>tiff/trace_net_postgres_quality.py</x:v>
      </x:c>
      <x:c r="C412" s="69" t="str">
        <x:v>trace_net_postgres_quality.py</x:v>
      </x:c>
      <x:c r="D412" s="69" t="str">
        <x:v>ingestion</x:v>
      </x:c>
      <x:c r="E412" s="69" t="str">
        <x:v>operations</x:v>
      </x:c>
      <x:c r="F412" s="69" t="str">
        <x:v>graph</x:v>
      </x:c>
      <x:c r="G412" s="69" t="str">
        <x:v>src/trace_net/graph/quality/</x:v>
      </x:c>
      <x:c r="H412" s="69" t="str">
        <x:v>src/trace_net/graph/quality/trace_net_postgres_quality.py</x:v>
      </x:c>
      <x:c r="I412" s="69" t="str">
        <x:v>quality validator module</x:v>
      </x:c>
      <x:c r="J412" s="69" t="str">
        <x:v>MOVE_WITH_IMPORT_UPDATES_AND_COMPATIBILITY_WRAPPER</x:v>
      </x:c>
      <x:c r="K412" s="70" t="b">
        <x:v>1</x:v>
      </x:c>
      <x:c r="L412" s="70" t="b">
        <x:v>0</x:v>
      </x:c>
      <x:c r="M412" s="70" t="b">
        <x:v>1</x:v>
      </x:c>
      <x:c r="N412" s="69" t="n">
        <x:v>2</x:v>
      </x:c>
      <x:c r="O412" s="69" t="n">
        <x:v>0</x:v>
      </x:c>
      <x:c r="P412" s="69" t="str">
        <x:v>scripts/check_trace_net_postgres_quality.py; tests/unit/test_tiff_trace_net_postgres_quality.py</x:v>
      </x:c>
      <x:c r="Q412" s="71" t="n">
        <x:v>0.97</x:v>
      </x:c>
      <x:c r="R412" s="69" t="str">
        <x:v>graph/Leiden/Postgres naming</x:v>
      </x:c>
      <x:c r="S412" s="69" t="str">
        <x:v>Quality logic is reusable source code for the graph stage.</x:v>
      </x:c>
      <x:c r="T412" s="69" t="str">
        <x:v>Update test and script imports; retain the old tiff import as a thin wrapper until PASS.</x:v>
      </x:c>
      <x:c r="U412" s="69" t="str"/>
      <x:c r="V412" s="69" t="str">
        <x:v>TRACE_NET_DATABASE_URL</x:v>
      </x:c>
      <x:c r="W412" s="69" t="str"/>
      <x:c r="X412" s="72" t="n">
        <x:v>7577</x:v>
      </x:c>
      <x:c r="Y412" s="70" t="b">
        <x:v>1</x:v>
      </x:c>
      <x:c r="Z412" s="69" t="str">
        <x:v>Compatibility required</x:v>
      </x:c>
      <x:c r="AA412" s="69" t="str">
        <x:v>https://github.com/jwild2027/heico-ai-internship-summer-2026/blob/srv/tiff/trace_net_postgres_quality.py</x:v>
      </x:c>
      <x:c r="AB412" s="69" t="str">
        <x:v>ingestion &lt;= path:tiff, import:tiff; ocr &lt;= string:ocr; graph &lt;= string:graph; embeddings &lt;= string:candidate_chunk, string:rag_candidate; validation &lt;= string:consensus; feedback &lt;= string:feedback, string:feedback_event, string:policy_signal</x:v>
      </x:c>
    </x:row>
    <x:row r="413">
      <x:c r="A413" s="68" t="n">
        <x:v>412</x:v>
      </x:c>
      <x:c r="B413" s="69" t="str">
        <x:v>tiff/trace_net_postgres_trust_overlay.py</x:v>
      </x:c>
      <x:c r="C413" s="69" t="str">
        <x:v>trace_net_postgres_trust_overlay.py</x:v>
      </x:c>
      <x:c r="D413" s="69" t="str">
        <x:v>tables</x:v>
      </x:c>
      <x:c r="E413" s="69" t="str">
        <x:v>shared, ingestion, graph</x:v>
      </x:c>
      <x:c r="F413" s="69" t="str">
        <x:v>graph</x:v>
      </x:c>
      <x:c r="G413" s="69" t="str">
        <x:v>src/trace_net/graph/</x:v>
      </x:c>
      <x:c r="H413" s="69" t="str">
        <x:v>src/trace_net/graph/trace_net_postgres_trust_overlay.py</x:v>
      </x:c>
      <x:c r="I413" s="69" t="str">
        <x:v>active library module</x:v>
      </x:c>
      <x:c r="J413" s="69" t="str">
        <x:v>MOVE_WITH_IMPORT_UPDATES_AND_COMPATIBILITY_WRAPPER</x:v>
      </x:c>
      <x:c r="K413" s="70" t="b">
        <x:v>1</x:v>
      </x:c>
      <x:c r="L413" s="70" t="b">
        <x:v>0</x:v>
      </x:c>
      <x:c r="M413" s="70" t="b">
        <x:v>1</x:v>
      </x:c>
      <x:c r="N413" s="69" t="n">
        <x:v>2</x:v>
      </x:c>
      <x:c r="O413" s="69" t="n">
        <x:v>0</x:v>
      </x:c>
      <x:c r="P413" s="69" t="str">
        <x:v>scripts/build_trace_net_postgres_trust_overlay.py; tests/unit/test_tiff_trace_net_postgres_trust_overlay.py</x:v>
      </x:c>
      <x:c r="Q413" s="71" t="n">
        <x:v>0.95</x:v>
      </x:c>
      <x:c r="R413" s="69" t="str">
        <x:v>graph/Leiden/Postgres naming</x:v>
      </x:c>
      <x:c r="S413" s="69" t="str">
        <x:v>Primary implementation belongs to the graph stage based on filename, imports, and inventory evidence.</x:v>
      </x:c>
      <x:c r="T413" s="69" t="str">
        <x:v>Update imports and retain the old tiff module as a wrapper when callers exist.</x:v>
      </x:c>
      <x:c r="U413" s="69" t="str"/>
      <x:c r="V413" s="69" t="str">
        <x:v>TRACE_NET_DATABASE_URL</x:v>
      </x:c>
      <x:c r="W413" s="69" t="str"/>
      <x:c r="X413" s="72" t="n">
        <x:v>31441</x:v>
      </x:c>
      <x:c r="Y413" s="70" t="b">
        <x:v>1</x:v>
      </x:c>
      <x:c r="Z413" s="69" t="str">
        <x:v>Compatibility required</x:v>
      </x:c>
      <x:c r="AA413" s="69" t="str">
        <x:v>https://github.com/jwild2027/heico-ai-internship-summer-2026/blob/srv/tiff/trace_net_postgres_trust_overlay.py</x:v>
      </x:c>
      <x:c r="AB413" s="69" t="str">
        <x:v>shared &lt;= symbol:schema, symbol:trust_tier, string:schema, string:trust_tier; ingestion &lt;= path:tiff; visual &lt;= string:visual; tables &lt;= symbol:column, symbol:table, string:column, string:table; graph &lt;= symbol:graph, string:graph; embeddings &lt;= string:candidate_chunk, string:rag_candidate</x:v>
      </x:c>
    </x:row>
    <x:row r="414">
      <x:c r="A414" s="68" t="n">
        <x:v>413</x:v>
      </x:c>
      <x:c r="B414" s="69" t="str">
        <x:v>tiff/trace_net_postgres_trust_overlay_quality.py</x:v>
      </x:c>
      <x:c r="C414" s="69" t="str">
        <x:v>trace_net_postgres_trust_overlay_quality.py</x:v>
      </x:c>
      <x:c r="D414" s="69" t="str">
        <x:v>ingestion</x:v>
      </x:c>
      <x:c r="E414" s="69" t="str">
        <x:v>tables</x:v>
      </x:c>
      <x:c r="F414" s="69" t="str">
        <x:v>graph</x:v>
      </x:c>
      <x:c r="G414" s="69" t="str">
        <x:v>src/trace_net/graph/quality/</x:v>
      </x:c>
      <x:c r="H414" s="69" t="str">
        <x:v>src/trace_net/graph/quality/trace_net_postgres_trust_overlay_quality.py</x:v>
      </x:c>
      <x:c r="I414" s="69" t="str">
        <x:v>quality validator module</x:v>
      </x:c>
      <x:c r="J414" s="69" t="str">
        <x:v>MOVE_WITH_IMPORT_UPDATES_AND_COMPATIBILITY_WRAPPER</x:v>
      </x:c>
      <x:c r="K414" s="70" t="b">
        <x:v>1</x:v>
      </x:c>
      <x:c r="L414" s="70" t="b">
        <x:v>0</x:v>
      </x:c>
      <x:c r="M414" s="70" t="b">
        <x:v>1</x:v>
      </x:c>
      <x:c r="N414" s="69" t="n">
        <x:v>2</x:v>
      </x:c>
      <x:c r="O414" s="69" t="n">
        <x:v>0</x:v>
      </x:c>
      <x:c r="P414" s="69" t="str">
        <x:v>scripts/check_trace_net_postgres_trust_overlay_quality.py; tests/unit/test_tiff_trace_net_postgres_trust_overlay_quality.py</x:v>
      </x:c>
      <x:c r="Q414" s="71" t="n">
        <x:v>0.97</x:v>
      </x:c>
      <x:c r="R414" s="69" t="str">
        <x:v>graph/Leiden/Postgres naming</x:v>
      </x:c>
      <x:c r="S414" s="69" t="str">
        <x:v>Quality logic is reusable source code for the graph stage.</x:v>
      </x:c>
      <x:c r="T414" s="69" t="str">
        <x:v>Update test and script imports; retain the old tiff import as a thin wrapper until PASS.</x:v>
      </x:c>
      <x:c r="U414" s="69" t="str"/>
      <x:c r="V414" s="69" t="str">
        <x:v>TRACE_NET_DATABASE_URL</x:v>
      </x:c>
      <x:c r="W414" s="69" t="str"/>
      <x:c r="X414" s="72" t="n">
        <x:v>10238</x:v>
      </x:c>
      <x:c r="Y414" s="70" t="b">
        <x:v>1</x:v>
      </x:c>
      <x:c r="Z414" s="69" t="str">
        <x:v>Compatibility required</x:v>
      </x:c>
      <x:c r="AA414" s="69" t="str">
        <x:v>https://github.com/jwild2027/heico-ai-internship-summer-2026/blob/srv/tiff/trace_net_postgres_trust_overlay_quality.py</x:v>
      </x:c>
      <x:c r="AB414" s="69" t="str">
        <x:v>shared &lt;= string:schema, string:trust_tier; ingestion &lt;= path:tiff; tables &lt;= symbol:table, string:column, string:table; embeddings &lt;= string:candidate_chunk, string:rag_candidate; context &lt;= string:source_trace; operations &lt;= string:install</x:v>
      </x:c>
    </x:row>
    <x:row r="415">
      <x:c r="A415" s="68" t="n">
        <x:v>414</x:v>
      </x:c>
      <x:c r="B415" s="69" t="str">
        <x:v>tiff/trace_net_pre_algorithm_baseline.py</x:v>
      </x:c>
      <x:c r="C415" s="69" t="str">
        <x:v>trace_net_pre_algorithm_baseline.py</x:v>
      </x:c>
      <x:c r="D415" s="69" t="str">
        <x:v>ingestion</x:v>
      </x:c>
      <x:c r="E415" s="69" t="str">
        <x:v>graph, feedback</x:v>
      </x:c>
      <x:c r="F415" s="69" t="str">
        <x:v>ingestion</x:v>
      </x:c>
      <x:c r="G415" s="69" t="str">
        <x:v>src/trace_net/ingestion/</x:v>
      </x:c>
      <x:c r="H415" s="69" t="str">
        <x:v>src/trace_net/ingestion/trace_net_pre_algorithm_baseline.py</x:v>
      </x:c>
      <x:c r="I415" s="69" t="str">
        <x:v>active library module</x:v>
      </x:c>
      <x:c r="J415" s="69" t="str">
        <x:v>MOVE_WITH_IMPORT_UPDATES_AND_COMPATIBILITY_WRAPPER</x:v>
      </x:c>
      <x:c r="K415" s="70" t="b">
        <x:v>1</x:v>
      </x:c>
      <x:c r="L415" s="70" t="b">
        <x:v>0</x:v>
      </x:c>
      <x:c r="M415" s="70" t="b">
        <x:v>1</x:v>
      </x:c>
      <x:c r="N415" s="69" t="n">
        <x:v>2</x:v>
      </x:c>
      <x:c r="O415" s="69" t="n">
        <x:v>0</x:v>
      </x:c>
      <x:c r="P415" s="69" t="str">
        <x:v>scripts/build_trace_net_pre_algorithm_baseline.py; tests/unit/test_tiff_trace_net_baseline.py</x:v>
      </x:c>
      <x:c r="Q415" s="71" t="n">
        <x:v>0.95</x:v>
      </x:c>
      <x:c r="R415" s="69" t="str">
        <x:v>inventory stage: ingestion</x:v>
      </x:c>
      <x:c r="S415" s="69" t="str">
        <x:v>Primary implementation belongs to the ingestion stage based on filename, imports, and inventory evidence.</x:v>
      </x:c>
      <x:c r="T415" s="69" t="str">
        <x:v>Update imports and retain the old tiff module as a wrapper when callers exist.</x:v>
      </x:c>
      <x:c r="U415" s="69" t="str"/>
      <x:c r="V415" s="69" t="str"/>
      <x:c r="W415" s="69" t="str"/>
      <x:c r="X415" s="72" t="n">
        <x:v>14109</x:v>
      </x:c>
      <x:c r="Y415" s="70" t="b">
        <x:v>1</x:v>
      </x:c>
      <x:c r="Z415" s="69" t="str">
        <x:v>Compatibility required</x:v>
      </x:c>
      <x:c r="AA415" s="69" t="str">
        <x:v>https://github.com/jwild2027/heico-ai-internship-summer-2026/blob/srv/tiff/trace_net_pre_algorithm_baseline.py</x:v>
      </x:c>
      <x:c r="AB415" s="69" t="str">
        <x:v>shared &lt;= string:trust_tier; ingestion &lt;= path:tiff, import:tiff, string:tiff; ocr &lt;= string:ocr; graph &lt;= symbol:graph, import:graph, string:graph; embeddings &lt;= string:rag_candidate; validation &lt;= string:consensus</x:v>
      </x:c>
    </x:row>
    <x:row r="416">
      <x:c r="A416" s="68" t="n">
        <x:v>415</x:v>
      </x:c>
      <x:c r="B416" s="69" t="str">
        <x:v>tiff/trace_net_promotion_writeback_dry_run_v1.py</x:v>
      </x:c>
      <x:c r="C416" s="69" t="str">
        <x:v>trace_net_promotion_writeback_dry_run_v1.py</x:v>
      </x:c>
      <x:c r="D416" s="69" t="str">
        <x:v>benchmarks</x:v>
      </x:c>
      <x:c r="E416" s="69" t="str">
        <x:v>ingestion, tables</x:v>
      </x:c>
      <x:c r="F416" s="69" t="str">
        <x:v>validation</x:v>
      </x:c>
      <x:c r="G416" s="69" t="str">
        <x:v>src/trace_net/validation/</x:v>
      </x:c>
      <x:c r="H416" s="69" t="str">
        <x:v>src/trace_net/validation/trace_net_promotion_writeback_dry_run_v1.py</x:v>
      </x:c>
      <x:c r="I416" s="69" t="str">
        <x:v>data/storage integration module</x:v>
      </x:c>
      <x:c r="J416" s="69" t="str">
        <x:v>MOVE_WITH_IMPORT_UPDATES_AND_COMPATIBILITY_WRAPPER</x:v>
      </x:c>
      <x:c r="K416" s="70" t="b">
        <x:v>1</x:v>
      </x:c>
      <x:c r="L416" s="70" t="b">
        <x:v>0</x:v>
      </x:c>
      <x:c r="M416" s="70" t="b">
        <x:v>1</x:v>
      </x:c>
      <x:c r="N416" s="69" t="n">
        <x:v>4</x:v>
      </x:c>
      <x:c r="O416" s="69" t="n">
        <x:v>0</x:v>
      </x:c>
      <x:c r="P416" s="69" t="str">
        <x:v>scripts/build_trace_net_promotion_writeback_dry_run_v1.py; scripts/check_trace_net_promotion_writeback_dry_run_v1_quality.py; tests/unit/test_trace_net_promotion_writeback_dry_run_v1.py; tests/unit/test_trace_net_promotion_writeback_dry_run_v1_quality.py</x:v>
      </x:c>
      <x:c r="Q416" s="71" t="n">
        <x:v>0.95</x:v>
      </x:c>
      <x:c r="R416" s="69" t="str">
        <x:v>inventory stage: benchmarks</x:v>
      </x:c>
      <x:c r="S416" s="69" t="str">
        <x:v>Loader/writeback logic is imported by active scripts or tests.</x:v>
      </x:c>
      <x:c r="T416" s="69" t="str">
        <x:v>Preserve lineage, dry-run defaults, and source-truth mutation gates.</x:v>
      </x:c>
      <x:c r="U416" s="69" t="str"/>
      <x:c r="V416" s="69" t="str"/>
      <x:c r="W416" s="69" t="str"/>
      <x:c r="X416" s="72" t="n">
        <x:v>27335</x:v>
      </x:c>
      <x:c r="Y416" s="70" t="b">
        <x:v>1</x:v>
      </x:c>
      <x:c r="Z416" s="69" t="str">
        <x:v>Compatibility required</x:v>
      </x:c>
      <x:c r="AA416" s="69" t="str">
        <x:v>https://github.com/jwild2027/heico-ai-internship-summer-2026/blob/srv/tiff/trace_net_promotion_writeback_dry_run_v1.py</x:v>
      </x:c>
      <x:c r="AB416" s="69" t="str">
        <x:v>shared &lt;= string:schema; ingestion &lt;= path:tiff, string:convert; visual &lt;= string:callout, string:visual; tables &lt;= symbol:table, string:table; graph &lt;= string:community, string:graph; embeddings &lt;= string:qdrant</x:v>
      </x:c>
    </x:row>
    <x:row r="417">
      <x:c r="A417" s="68" t="n">
        <x:v>416</x:v>
      </x:c>
      <x:c r="B417" s="69" t="str">
        <x:v>tiff/trace_net_qdrant_loader_v1.py</x:v>
      </x:c>
      <x:c r="C417" s="69" t="str">
        <x:v>trace_net_qdrant_loader_v1.py</x:v>
      </x:c>
      <x:c r="D417" s="69" t="str">
        <x:v>embeddings</x:v>
      </x:c>
      <x:c r="E417" s="69" t="str">
        <x:v>operations, serving</x:v>
      </x:c>
      <x:c r="F417" s="69" t="str">
        <x:v>embeddings</x:v>
      </x:c>
      <x:c r="G417" s="69" t="str">
        <x:v>src/trace_net/embeddings/</x:v>
      </x:c>
      <x:c r="H417" s="69" t="str">
        <x:v>src/trace_net/embeddings/trace_net_qdrant_loader_v1.py</x:v>
      </x:c>
      <x:c r="I417" s="69" t="str">
        <x:v>data/storage integration module</x:v>
      </x:c>
      <x:c r="J417" s="69" t="str">
        <x:v>MOVE_WITH_IMPORT_UPDATES_AND_COMPATIBILITY_WRAPPER</x:v>
      </x:c>
      <x:c r="K417" s="70" t="b">
        <x:v>1</x:v>
      </x:c>
      <x:c r="L417" s="70" t="b">
        <x:v>1</x:v>
      </x:c>
      <x:c r="M417" s="70" t="b">
        <x:v>1</x:v>
      </x:c>
      <x:c r="N417" s="69" t="n">
        <x:v>5</x:v>
      </x:c>
      <x:c r="O417" s="69" t="n">
        <x:v>0</x:v>
      </x:c>
      <x:c r="P417" s="69" t="str">
        <x:v>scripts/check_trace_net_qdrant_loader_v1_quality.py; scripts/load_trace_net_qdrant_embeddings_v1.py; tests/unit/test_trace_net_qdrant_loader_v1.py; tests/unit/test_trace_net_qdrant_loader_v1_quality.py; tiff/trace_net_hybrid_retrieval_sim_v1.py</x:v>
      </x:c>
      <x:c r="Q417" s="71" t="n">
        <x:v>0.95</x:v>
      </x:c>
      <x:c r="R417" s="69" t="str">
        <x:v>embedding/Qdrant naming</x:v>
      </x:c>
      <x:c r="S417" s="69" t="str">
        <x:v>Loader/writeback logic is imported by active scripts or tests.</x:v>
      </x:c>
      <x:c r="T417" s="69" t="str">
        <x:v>Preserve lineage, dry-run defaults, and source-truth mutation gates.</x:v>
      </x:c>
      <x:c r="U417" s="69" t="str">
        <x:v>11434</x:v>
      </x:c>
      <x:c r="V417" s="69" t="str">
        <x:v>TRACE_NET_EMBEDDING_DEVICE, TRACE_NET_EMBEDDING_DIM, TRACE_NET_EMBEDDING_MODEL, TRACE_NET_OLLAMA_EMBED_ENDPOINT, TRACE_NET_OLLAMA_TIMEOUT, TRACE_NET_OLLAMA_URL, TRACE_NET_QDRANT_COLLECTION</x:v>
      </x:c>
      <x:c r="W417" s="69" t="str"/>
      <x:c r="X417" s="72" t="n">
        <x:v>70205</x:v>
      </x:c>
      <x:c r="Y417" s="70" t="b">
        <x:v>1</x:v>
      </x:c>
      <x:c r="Z417" s="69" t="str">
        <x:v>Protected runtime</x:v>
      </x:c>
      <x:c r="AA417" s="69" t="str">
        <x:v>https://github.com/jwild2027/heico-ai-internship-summer-2026/blob/srv/tiff/trace_net_qdrant_loader_v1.py</x:v>
      </x:c>
      <x:c r="AB417" s="69" t="str">
        <x:v>shared &lt;= string:helper, string:schema, string:trust_tier; ingestion &lt;= path:tiff, string:tiff; ocr &lt;= string:ocr; visual &lt;= string:visual; tables &lt;= string:table; embeddings &lt;= path:qdrant, symbol:embedding, symbol:qdrant, string:bge_m3, string:embedding, string:embedding_candidate, string:qdrant, environment:embedding</x:v>
      </x:c>
    </x:row>
    <x:row r="418">
      <x:c r="A418" s="68" t="n">
        <x:v>417</x:v>
      </x:c>
      <x:c r="B418" s="69" t="str">
        <x:v>tiff/trace_net_query_atom_router_v1.py</x:v>
      </x:c>
      <x:c r="C418" s="69" t="str">
        <x:v>trace_net_query_atom_router_v1.py</x:v>
      </x:c>
      <x:c r="D418" s="69" t="str">
        <x:v>router</x:v>
      </x:c>
      <x:c r="E418" s="69" t="str"/>
      <x:c r="F418" s="69" t="str">
        <x:v>router</x:v>
      </x:c>
      <x:c r="G418" s="69" t="str">
        <x:v>src/trace_net/router/</x:v>
      </x:c>
      <x:c r="H418" s="69" t="str">
        <x:v>src/trace_net/router/trace_net_query_atom_router_v1.py</x:v>
      </x:c>
      <x:c r="I418" s="69" t="str">
        <x:v>active library module</x:v>
      </x:c>
      <x:c r="J418" s="69" t="str">
        <x:v>MOVE_WITH_IMPORT_UPDATES_AND_COMPATIBILITY_WRAPPER</x:v>
      </x:c>
      <x:c r="K418" s="70" t="b">
        <x:v>1</x:v>
      </x:c>
      <x:c r="L418" s="70" t="b">
        <x:v>0</x:v>
      </x:c>
      <x:c r="M418" s="70" t="b">
        <x:v>1</x:v>
      </x:c>
      <x:c r="N418" s="69" t="n">
        <x:v>7</x:v>
      </x:c>
      <x:c r="O418" s="69" t="n">
        <x:v>2</x:v>
      </x:c>
      <x:c r="P418" s="69" t="str">
        <x:v>scripts/run_trace_net_router_followup_retrieval_benchmark_v1.py; scripts/serve_trace_net_openwebui_unified_rag_v2.py; tests/unit/test_trace_net_follow_up_question_planner_v1.py; tests/unit/test_trace_net_query_atom_router_v1.py; trace_net_full_corpus_typed_router_v1_patch/tests/unit/test_trace_net_query_atom_router_v1.py; trace_net_router_followup_benchmark_v1_patch/scripts/run_trace_net_router_followup_retrieval_benchmark_v1.py; trace_net_router_followup_benchmark_v1_patch/tests/unit/test_trace_net_follow_up_question_planner_v1.py; trace_net_full_corpus_typed_router_v1_patch/APPLY_ME.py; trace_net_router_followup_benchmark_v1_patch/APPLY_ME.py</x:v>
      </x:c>
      <x:c r="Q418" s="71" t="n">
        <x:v>0.95</x:v>
      </x:c>
      <x:c r="R418" s="69" t="str">
        <x:v>router/route naming</x:v>
      </x:c>
      <x:c r="S418" s="69" t="str">
        <x:v>Primary implementation belongs to the router stage based on filename, imports, and inventory evidence.</x:v>
      </x:c>
      <x:c r="T418" s="69" t="str">
        <x:v>Update imports and retain the old tiff module as a wrapper when callers exist.</x:v>
      </x:c>
      <x:c r="U418" s="69" t="str"/>
      <x:c r="V418" s="69" t="str"/>
      <x:c r="W418" s="69" t="str"/>
      <x:c r="X418" s="72" t="n">
        <x:v>8970</x:v>
      </x:c>
      <x:c r="Y418" s="70" t="b">
        <x:v>1</x:v>
      </x:c>
      <x:c r="Z418" s="69" t="str">
        <x:v>Compatibility required</x:v>
      </x:c>
      <x:c r="AA418" s="69" t="str">
        <x:v>https://github.com/jwild2027/heico-ai-internship-summer-2026/blob/srv/tiff/trace_net_query_atom_router_v1.py</x:v>
      </x:c>
      <x:c r="AB418" s="69" t="str">
        <x:v>shared &lt;= string:schema; ingestion &lt;= path:tiff, import:tiff; visual &lt;= string:callout, string:diagram; tables &lt;= string:column, string:ipl, string:table; router &lt;= path:query_atom, path:router, string:query_atom, string:router; serving &lt;= string:sse</x:v>
      </x:c>
    </x:row>
    <x:row r="419">
      <x:c r="A419" s="68" t="n">
        <x:v>418</x:v>
      </x:c>
      <x:c r="B419" s="69" t="str">
        <x:v>tiff/trace_net_rag_candidate_index.py</x:v>
      </x:c>
      <x:c r="C419" s="69" t="str">
        <x:v>trace_net_rag_candidate_index.py</x:v>
      </x:c>
      <x:c r="D419" s="69" t="str">
        <x:v>embeddings</x:v>
      </x:c>
      <x:c r="E419" s="69" t="str">
        <x:v>ingestion, context</x:v>
      </x:c>
      <x:c r="F419" s="69" t="str">
        <x:v>retrieval</x:v>
      </x:c>
      <x:c r="G419" s="69" t="str">
        <x:v>src/trace_net/retrieval/</x:v>
      </x:c>
      <x:c r="H419" s="69" t="str">
        <x:v>src/trace_net/retrieval/trace_net_rag_candidate_index.py</x:v>
      </x:c>
      <x:c r="I419" s="69" t="str">
        <x:v>artifact builder implementation</x:v>
      </x:c>
      <x:c r="J419" s="69" t="str">
        <x:v>MOVE_WITH_IMPORT_UPDATES_AND_COMPATIBILITY_WRAPPER</x:v>
      </x:c>
      <x:c r="K419" s="70" t="b">
        <x:v>1</x:v>
      </x:c>
      <x:c r="L419" s="70" t="b">
        <x:v>0</x:v>
      </x:c>
      <x:c r="M419" s="70" t="b">
        <x:v>1</x:v>
      </x:c>
      <x:c r="N419" s="69" t="n">
        <x:v>3</x:v>
      </x:c>
      <x:c r="O419" s="69" t="n">
        <x:v>0</x:v>
      </x:c>
      <x:c r="P419" s="69" t="str">
        <x:v>scripts/build_trace_net_rag_candidate_index.py; tests/unit/test_tiff_trace_net_rag_candidate_index.py; tiff/trace_net_rag_candidate_index_quality.py</x:v>
      </x:c>
      <x:c r="Q419" s="71" t="n">
        <x:v>0.96</x:v>
      </x:c>
      <x:c r="R419" s="69" t="str">
        <x:v>retrieval/search naming</x:v>
      </x:c>
      <x:c r="S419" s="69" t="str">
        <x:v>Build implementation is imported by active wrappers/tests and belongs to the retrieval package.</x:v>
      </x:c>
      <x:c r="T419" s="69" t="str">
        <x:v>Update wrapper imports and compare generated artifact counts/checksums.</x:v>
      </x:c>
      <x:c r="U419" s="69" t="str"/>
      <x:c r="V419" s="69" t="str"/>
      <x:c r="W419" s="69" t="str"/>
      <x:c r="X419" s="72" t="n">
        <x:v>46091</x:v>
      </x:c>
      <x:c r="Y419" s="70" t="b">
        <x:v>1</x:v>
      </x:c>
      <x:c r="Z419" s="69" t="str">
        <x:v>Compatibility required</x:v>
      </x:c>
      <x:c r="AA419" s="69" t="str">
        <x:v>https://github.com/jwild2027/heico-ai-internship-summer-2026/blob/srv/tiff/trace_net_rag_candidate_index.py</x:v>
      </x:c>
      <x:c r="AB419" s="69" t="str">
        <x:v>shared &lt;= string:helper, string:trust_tier; ingestion &lt;= path:tiff, symbol:tiff, string:convert, string:tiff; ocr &lt;= symbol:ocr, string:ocr; tables &lt;= symbol:table, string:table; graph &lt;= symbol:graph, string:graph; embeddings &lt;= path:rag_candidate, symbol:rag_candidate, string:candidate_chunk, string:rag_candidate</x:v>
      </x:c>
    </x:row>
    <x:row r="420">
      <x:c r="A420" s="68" t="n">
        <x:v>419</x:v>
      </x:c>
      <x:c r="B420" s="69" t="str">
        <x:v>tiff/trace_net_rag_candidate_index_quality.py</x:v>
      </x:c>
      <x:c r="C420" s="69" t="str">
        <x:v>trace_net_rag_candidate_index_quality.py</x:v>
      </x:c>
      <x:c r="D420" s="69" t="str">
        <x:v>embeddings</x:v>
      </x:c>
      <x:c r="E420" s="69" t="str">
        <x:v>ingestion</x:v>
      </x:c>
      <x:c r="F420" s="69" t="str">
        <x:v>retrieval</x:v>
      </x:c>
      <x:c r="G420" s="69" t="str">
        <x:v>src/trace_net/retrieval/quality/</x:v>
      </x:c>
      <x:c r="H420" s="69" t="str">
        <x:v>src/trace_net/retrieval/quality/trace_net_rag_candidate_index_quality.py</x:v>
      </x:c>
      <x:c r="I420" s="69" t="str">
        <x:v>quality validator module</x:v>
      </x:c>
      <x:c r="J420" s="69" t="str">
        <x:v>MOVE_WITH_IMPORT_UPDATES_AND_COMPATIBILITY_WRAPPER</x:v>
      </x:c>
      <x:c r="K420" s="70" t="b">
        <x:v>1</x:v>
      </x:c>
      <x:c r="L420" s="70" t="b">
        <x:v>0</x:v>
      </x:c>
      <x:c r="M420" s="70" t="b">
        <x:v>1</x:v>
      </x:c>
      <x:c r="N420" s="69" t="n">
        <x:v>2</x:v>
      </x:c>
      <x:c r="O420" s="69" t="n">
        <x:v>0</x:v>
      </x:c>
      <x:c r="P420" s="69" t="str">
        <x:v>scripts/check_trace_net_rag_candidate_index_quality.py; tests/unit/test_tiff_trace_net_rag_candidate_index_quality.py</x:v>
      </x:c>
      <x:c r="Q420" s="71" t="n">
        <x:v>0.97</x:v>
      </x:c>
      <x:c r="R420" s="69" t="str">
        <x:v>retrieval/search naming</x:v>
      </x:c>
      <x:c r="S420" s="69" t="str">
        <x:v>Quality logic is reusable source code for the retrieval stage.</x:v>
      </x:c>
      <x:c r="T420" s="69" t="str">
        <x:v>Update test and script imports; retain the old tiff import as a thin wrapper until PASS.</x:v>
      </x:c>
      <x:c r="U420" s="69" t="str"/>
      <x:c r="V420" s="69" t="str"/>
      <x:c r="W420" s="69" t="str"/>
      <x:c r="X420" s="72" t="n">
        <x:v>17536</x:v>
      </x:c>
      <x:c r="Y420" s="70" t="b">
        <x:v>1</x:v>
      </x:c>
      <x:c r="Z420" s="69" t="str">
        <x:v>Compatibility required</x:v>
      </x:c>
      <x:c r="AA420" s="69" t="str">
        <x:v>https://github.com/jwild2027/heico-ai-internship-summer-2026/blob/srv/tiff/trace_net_rag_candidate_index_quality.py</x:v>
      </x:c>
      <x:c r="AB420" s="69" t="str">
        <x:v>shared &lt;= string:trust_tier; ingestion &lt;= path:tiff, import:tiff; ocr &lt;= string:ocr; tables &lt;= string:table; graph &lt;= string:graph; embeddings &lt;= path:rag_candidate, symbol:rag_candidate, import:rag_candidate, string:rag_candidate</x:v>
      </x:c>
    </x:row>
    <x:row r="421">
      <x:c r="A421" s="68" t="n">
        <x:v>420</x:v>
      </x:c>
      <x:c r="B421" s="69" t="str">
        <x:v>tiff/trace_net_rag_eligibility.py</x:v>
      </x:c>
      <x:c r="C421" s="69" t="str">
        <x:v>trace_net_rag_eligibility.py</x:v>
      </x:c>
      <x:c r="D421" s="69" t="str">
        <x:v>ingestion</x:v>
      </x:c>
      <x:c r="E421" s="69" t="str">
        <x:v>shared, tables, graph, context</x:v>
      </x:c>
      <x:c r="F421" s="69" t="str">
        <x:v>context</x:v>
      </x:c>
      <x:c r="G421" s="69" t="str">
        <x:v>src/trace_net/context/</x:v>
      </x:c>
      <x:c r="H421" s="69" t="str">
        <x:v>src/trace_net/context/trace_net_rag_eligibility.py</x:v>
      </x:c>
      <x:c r="I421" s="69" t="str">
        <x:v>active library module</x:v>
      </x:c>
      <x:c r="J421" s="69" t="str">
        <x:v>MOVE_WITH_IMPORT_UPDATES_AND_COMPATIBILITY_WRAPPER</x:v>
      </x:c>
      <x:c r="K421" s="70" t="b">
        <x:v>1</x:v>
      </x:c>
      <x:c r="L421" s="70" t="b">
        <x:v>0</x:v>
      </x:c>
      <x:c r="M421" s="70" t="b">
        <x:v>1</x:v>
      </x:c>
      <x:c r="N421" s="69" t="n">
        <x:v>4</x:v>
      </x:c>
      <x:c r="O421" s="69" t="n">
        <x:v>0</x:v>
      </x:c>
      <x:c r="P421" s="69" t="str">
        <x:v>scripts/build_trace_net_rag_eligibility.py; tests/unit/test_tiff_trace_net_rag_eligibility.py; tests/unit/test_tiff_trace_net_rag_eligibility_quality.py; tiff/trace_net_rag_eligibility_quality.py</x:v>
      </x:c>
      <x:c r="Q421" s="71" t="n">
        <x:v>0.95</x:v>
      </x:c>
      <x:c r="R421" s="69" t="str">
        <x:v>context/evidence naming</x:v>
      </x:c>
      <x:c r="S421" s="69" t="str">
        <x:v>Primary implementation belongs to the context stage based on filename, imports, and inventory evidence.</x:v>
      </x:c>
      <x:c r="T421" s="69" t="str">
        <x:v>Update imports and retain the old tiff module as a wrapper when callers exist.</x:v>
      </x:c>
      <x:c r="U421" s="69" t="str"/>
      <x:c r="V421" s="69" t="str"/>
      <x:c r="W421" s="69" t="str"/>
      <x:c r="X421" s="72" t="n">
        <x:v>24736</x:v>
      </x:c>
      <x:c r="Y421" s="70" t="b">
        <x:v>1</x:v>
      </x:c>
      <x:c r="Z421" s="69" t="str">
        <x:v>Compatibility required</x:v>
      </x:c>
      <x:c r="AA421" s="69" t="str">
        <x:v>https://github.com/jwild2027/heico-ai-internship-summer-2026/blob/srv/tiff/trace_net_rag_eligibility.py</x:v>
      </x:c>
      <x:c r="AB421" s="69" t="str">
        <x:v>shared &lt;= symbol:trust_tier, string:trust_tier; ingestion &lt;= path:tiff, string:convert; tables &lt;= symbol:table, string:table; graph &lt;= symbol:graph, string:graph; context &lt;= symbol:source_trace, string:source_trace; serving &lt;= import:sse</x:v>
      </x:c>
    </x:row>
    <x:row r="422">
      <x:c r="A422" s="68" t="n">
        <x:v>421</x:v>
      </x:c>
      <x:c r="B422" s="69" t="str">
        <x:v>tiff/trace_net_rag_eligibility_quality.py</x:v>
      </x:c>
      <x:c r="C422" s="69" t="str">
        <x:v>trace_net_rag_eligibility_quality.py</x:v>
      </x:c>
      <x:c r="D422" s="69" t="str">
        <x:v>ingestion</x:v>
      </x:c>
      <x:c r="E422" s="69" t="str"/>
      <x:c r="F422" s="69" t="str">
        <x:v>validation</x:v>
      </x:c>
      <x:c r="G422" s="69" t="str">
        <x:v>src/trace_net/validation/</x:v>
      </x:c>
      <x:c r="H422" s="69" t="str">
        <x:v>src/trace_net/validation/trace_net_rag_eligibility_quality.py</x:v>
      </x:c>
      <x:c r="I422" s="69" t="str">
        <x:v>quality validator module</x:v>
      </x:c>
      <x:c r="J422" s="69" t="str">
        <x:v>MOVE_WITH_IMPORT_UPDATES_AND_COMPATIBILITY_WRAPPER</x:v>
      </x:c>
      <x:c r="K422" s="70" t="b">
        <x:v>1</x:v>
      </x:c>
      <x:c r="L422" s="70" t="b">
        <x:v>0</x:v>
      </x:c>
      <x:c r="M422" s="70" t="b">
        <x:v>1</x:v>
      </x:c>
      <x:c r="N422" s="69" t="n">
        <x:v>2</x:v>
      </x:c>
      <x:c r="O422" s="69" t="n">
        <x:v>0</x:v>
      </x:c>
      <x:c r="P422" s="69" t="str">
        <x:v>scripts/check_trace_net_rag_eligibility_quality.py; tests/unit/test_tiff_trace_net_rag_eligibility_quality.py</x:v>
      </x:c>
      <x:c r="Q422" s="71" t="n">
        <x:v>0.97</x:v>
      </x:c>
      <x:c r="R422" s="69" t="str">
        <x:v>context/evidence naming</x:v>
      </x:c>
      <x:c r="S422" s="69" t="str">
        <x:v>Quality logic is reusable source code for the context stage.</x:v>
      </x:c>
      <x:c r="T422" s="69" t="str">
        <x:v>Update test and script imports; retain the old tiff import as a thin wrapper until PASS.</x:v>
      </x:c>
      <x:c r="U422" s="69" t="str"/>
      <x:c r="V422" s="69" t="str"/>
      <x:c r="W422" s="69" t="str"/>
      <x:c r="X422" s="72" t="n">
        <x:v>13495</x:v>
      </x:c>
      <x:c r="Y422" s="70" t="b">
        <x:v>1</x:v>
      </x:c>
      <x:c r="Z422" s="69" t="str">
        <x:v>Compatibility required</x:v>
      </x:c>
      <x:c r="AA422" s="69" t="str">
        <x:v>https://github.com/jwild2027/heico-ai-internship-summer-2026/blob/srv/tiff/trace_net_rag_eligibility_quality.py</x:v>
      </x:c>
      <x:c r="AB422" s="69" t="str">
        <x:v>shared &lt;= string:trust_tier; ingestion &lt;= path:tiff, import:tiff; tables &lt;= string:table; graph &lt;= string:graph; serving &lt;= import:sse; referenced_by_count=1</x:v>
      </x:c>
    </x:row>
    <x:row r="423">
      <x:c r="A423" s="68" t="n">
        <x:v>422</x:v>
      </x:c>
      <x:c r="B423" s="69" t="str">
        <x:v>tiff/trace_net_rag_search.py</x:v>
      </x:c>
      <x:c r="C423" s="69" t="str">
        <x:v>trace_net_rag_search.py</x:v>
      </x:c>
      <x:c r="D423" s="69" t="str">
        <x:v>ingestion</x:v>
      </x:c>
      <x:c r="E423" s="69" t="str">
        <x:v>serving, embeddings, tables</x:v>
      </x:c>
      <x:c r="F423" s="69" t="str">
        <x:v>retrieval</x:v>
      </x:c>
      <x:c r="G423" s="69" t="str">
        <x:v>src/trace_net/retrieval/</x:v>
      </x:c>
      <x:c r="H423" s="69" t="str">
        <x:v>src/trace_net/retrieval/trace_net_rag_search.py</x:v>
      </x:c>
      <x:c r="I423" s="69" t="str">
        <x:v>active library module</x:v>
      </x:c>
      <x:c r="J423" s="69" t="str">
        <x:v>MOVE_WITH_IMPORT_UPDATES_AND_COMPATIBILITY_WRAPPER</x:v>
      </x:c>
      <x:c r="K423" s="70" t="b">
        <x:v>1</x:v>
      </x:c>
      <x:c r="L423" s="70" t="b">
        <x:v>0</x:v>
      </x:c>
      <x:c r="M423" s="70" t="b">
        <x:v>1</x:v>
      </x:c>
      <x:c r="N423" s="69" t="n">
        <x:v>3</x:v>
      </x:c>
      <x:c r="O423" s="69" t="n">
        <x:v>0</x:v>
      </x:c>
      <x:c r="P423" s="69" t="str">
        <x:v>scripts/search_trace_net_rag_candidates.py; tests/unit/test_tiff_trace_net_rag_search.py; tiff/trace_net_rag_search_quality.py</x:v>
      </x:c>
      <x:c r="Q423" s="71" t="n">
        <x:v>0.95</x:v>
      </x:c>
      <x:c r="R423" s="69" t="str">
        <x:v>retrieval/search naming</x:v>
      </x:c>
      <x:c r="S423" s="69" t="str">
        <x:v>Primary implementation belongs to the retrieval stage based on filename, imports, and inventory evidence.</x:v>
      </x:c>
      <x:c r="T423" s="69" t="str">
        <x:v>Update imports and retain the old tiff module as a wrapper when callers exist.</x:v>
      </x:c>
      <x:c r="U423" s="69" t="str"/>
      <x:c r="V423" s="69" t="str"/>
      <x:c r="W423" s="69" t="str"/>
      <x:c r="X423" s="72" t="n">
        <x:v>29305</x:v>
      </x:c>
      <x:c r="Y423" s="70" t="b">
        <x:v>1</x:v>
      </x:c>
      <x:c r="Z423" s="69" t="str">
        <x:v>Compatibility required</x:v>
      </x:c>
      <x:c r="AA423" s="69" t="str">
        <x:v>https://github.com/jwild2027/heico-ai-internship-summer-2026/blob/srv/tiff/trace_net_rag_search.py</x:v>
      </x:c>
      <x:c r="AB423" s="69" t="str">
        <x:v>shared &lt;= string:trust_tier; ingestion &lt;= path:tiff, string:tiff; ocr &lt;= string:ocr; tables &lt;= symbol:table, string:table; graph &lt;= string:graph; embeddings &lt;= symbol:rag_candidate, string:candidate_chunk, string:embedding, string:rag_candidate</x:v>
      </x:c>
    </x:row>
    <x:row r="424">
      <x:c r="A424" s="68" t="n">
        <x:v>423</x:v>
      </x:c>
      <x:c r="B424" s="69" t="str">
        <x:v>tiff/trace_net_rag_search_quality.py</x:v>
      </x:c>
      <x:c r="C424" s="69" t="str">
        <x:v>trace_net_rag_search_quality.py</x:v>
      </x:c>
      <x:c r="D424" s="69" t="str">
        <x:v>ingestion</x:v>
      </x:c>
      <x:c r="E424" s="69" t="str">
        <x:v>benchmarks</x:v>
      </x:c>
      <x:c r="F424" s="69" t="str">
        <x:v>retrieval</x:v>
      </x:c>
      <x:c r="G424" s="69" t="str">
        <x:v>src/trace_net/retrieval/quality/</x:v>
      </x:c>
      <x:c r="H424" s="69" t="str">
        <x:v>src/trace_net/retrieval/quality/trace_net_rag_search_quality.py</x:v>
      </x:c>
      <x:c r="I424" s="69" t="str">
        <x:v>quality validator module</x:v>
      </x:c>
      <x:c r="J424" s="69" t="str">
        <x:v>MOVE_WITH_IMPORT_UPDATES_AND_COMPATIBILITY_WRAPPER</x:v>
      </x:c>
      <x:c r="K424" s="70" t="b">
        <x:v>1</x:v>
      </x:c>
      <x:c r="L424" s="70" t="b">
        <x:v>0</x:v>
      </x:c>
      <x:c r="M424" s="70" t="b">
        <x:v>1</x:v>
      </x:c>
      <x:c r="N424" s="69" t="n">
        <x:v>2</x:v>
      </x:c>
      <x:c r="O424" s="69" t="n">
        <x:v>0</x:v>
      </x:c>
      <x:c r="P424" s="69" t="str">
        <x:v>scripts/check_trace_net_rag_search_quality.py; tests/unit/test_tiff_trace_net_rag_search_quality.py</x:v>
      </x:c>
      <x:c r="Q424" s="71" t="n">
        <x:v>0.97</x:v>
      </x:c>
      <x:c r="R424" s="69" t="str">
        <x:v>retrieval/search naming</x:v>
      </x:c>
      <x:c r="S424" s="69" t="str">
        <x:v>Quality logic is reusable source code for the retrieval stage.</x:v>
      </x:c>
      <x:c r="T424" s="69" t="str">
        <x:v>Update test and script imports; retain the old tiff import as a thin wrapper until PASS.</x:v>
      </x:c>
      <x:c r="U424" s="69" t="str"/>
      <x:c r="V424" s="69" t="str"/>
      <x:c r="W424" s="69" t="str"/>
      <x:c r="X424" s="72" t="n">
        <x:v>10355</x:v>
      </x:c>
      <x:c r="Y424" s="70" t="b">
        <x:v>1</x:v>
      </x:c>
      <x:c r="Z424" s="69" t="str">
        <x:v>Compatibility required</x:v>
      </x:c>
      <x:c r="AA424" s="69" t="str">
        <x:v>https://github.com/jwild2027/heico-ai-internship-summer-2026/blob/srv/tiff/trace_net_rag_search_quality.py</x:v>
      </x:c>
      <x:c r="AB424" s="69" t="str">
        <x:v>ingestion &lt;= path:tiff, import:tiff; serving &lt;= import:sse; benchmarks &lt;= symbol:eval; referenced_by_count=2; imported_by_count=2</x:v>
      </x:c>
    </x:row>
    <x:row r="425">
      <x:c r="A425" s="68" t="n">
        <x:v>424</x:v>
      </x:c>
      <x:c r="B425" s="69" t="str">
        <x:v>tiff/trace_net_raw_ocr_nomenclature_window_extractor_v1.py</x:v>
      </x:c>
      <x:c r="C425" s="69" t="str">
        <x:v>trace_net_raw_ocr_nomenclature_window_extractor_v1.py</x:v>
      </x:c>
      <x:c r="D425" s="69" t="str">
        <x:v>ocr</x:v>
      </x:c>
      <x:c r="E425" s="69" t="str">
        <x:v>ingestion, visual</x:v>
      </x:c>
      <x:c r="F425" s="69" t="str">
        <x:v>ocr</x:v>
      </x:c>
      <x:c r="G425" s="69" t="str">
        <x:v>src/trace_net/ocr/</x:v>
      </x:c>
      <x:c r="H425" s="69" t="str">
        <x:v>src/trace_net/ocr/trace_net_raw_ocr_nomenclature_window_extractor_v1.py</x:v>
      </x:c>
      <x:c r="I425" s="69" t="str">
        <x:v>artifact builder implementation</x:v>
      </x:c>
      <x:c r="J425" s="69" t="str">
        <x:v>MOVE_WITH_IMPORT_UPDATES_AND_COMPATIBILITY_WRAPPER</x:v>
      </x:c>
      <x:c r="K425" s="70" t="b">
        <x:v>1</x:v>
      </x:c>
      <x:c r="L425" s="70" t="b">
        <x:v>0</x:v>
      </x:c>
      <x:c r="M425" s="70" t="b">
        <x:v>1</x:v>
      </x:c>
      <x:c r="N425" s="69" t="n">
        <x:v>3</x:v>
      </x:c>
      <x:c r="O425" s="69" t="n">
        <x:v>0</x:v>
      </x:c>
      <x:c r="P425" s="69" t="str">
        <x:v>scripts/build_trace_net_raw_ocr_nomenclature_window_extractor_v1.py; scripts/check_trace_net_raw_ocr_nomenclature_window_extractor_v1.py; tests/unit/test_trace_net_raw_ocr_nomenclature_window_extractor_v1.py</x:v>
      </x:c>
      <x:c r="Q425" s="71" t="n">
        <x:v>0.96</x:v>
      </x:c>
      <x:c r="R425" s="69" t="str">
        <x:v>OCR/fishnet naming</x:v>
      </x:c>
      <x:c r="S425" s="69" t="str">
        <x:v>Build implementation is imported by active wrappers/tests and belongs to the ocr package.</x:v>
      </x:c>
      <x:c r="T425" s="69" t="str">
        <x:v>Update wrapper imports and compare generated artifact counts/checksums.</x:v>
      </x:c>
      <x:c r="U425" s="69" t="str"/>
      <x:c r="V425" s="69" t="str">
        <x:v>TRACE_NET_RAW_OCR_NOMENCLATURE_WINDOW_EXTRACTOR_BUILT, TRACE_NET_RAW_OCR_NOMENCLATURE_WINDOW_EXTRACTOR_QUALITY_CHECKED</x:v>
      </x:c>
      <x:c r="W425" s="69" t="str"/>
      <x:c r="X425" s="72" t="n">
        <x:v>29643</x:v>
      </x:c>
      <x:c r="Y425" s="70" t="b">
        <x:v>1</x:v>
      </x:c>
      <x:c r="Z425" s="69" t="str">
        <x:v>Compatibility required</x:v>
      </x:c>
      <x:c r="AA425" s="69" t="str">
        <x:v>https://github.com/jwild2027/heico-ai-internship-summer-2026/blob/srv/tiff/trace_net_raw_ocr_nomenclature_window_extractor_v1.py</x:v>
      </x:c>
      <x:c r="AB425" s="69" t="str">
        <x:v>shared &lt;= string:contract, string:schema; ingestion &lt;= path:tiff, string:scan_pack, string:tiff; ocr &lt;= path:ocr, symbol:ocr, string:ocr, environment:ocr; visual &lt;= symbol:visual, string:callout, string:diagram, string:image_visual, string:llava; tables &lt;= string:table; graph &lt;= string:community</x:v>
      </x:c>
    </x:row>
    <x:row r="426">
      <x:c r="A426" s="68" t="n">
        <x:v>425</x:v>
      </x:c>
      <x:c r="B426" s="69" t="str">
        <x:v>tiff/trace_net_raw_to_answer_context_engineered_native_v1.py</x:v>
      </x:c>
      <x:c r="C426" s="69" t="str">
        <x:v>trace_net_raw_to_answer_context_engineered_native_v1.py</x:v>
      </x:c>
      <x:c r="D426" s="69" t="str">
        <x:v>benchmarks</x:v>
      </x:c>
      <x:c r="E426" s="69" t="str">
        <x:v>ingestion, graph, llm_writing, retrieval</x:v>
      </x:c>
      <x:c r="F426" s="69" t="str">
        <x:v>validation</x:v>
      </x:c>
      <x:c r="G426" s="69" t="str">
        <x:v>src/trace_net/validation/</x:v>
      </x:c>
      <x:c r="H426" s="69" t="str">
        <x:v>src/trace_net/validation/trace_net_raw_to_answer_context_engineered_native_v1.py</x:v>
      </x:c>
      <x:c r="I426" s="69" t="str">
        <x:v>active library module</x:v>
      </x:c>
      <x:c r="J426" s="69" t="str">
        <x:v>MOVE_WITH_PROTECTED_COMPATIBILITY_WRAPPER</x:v>
      </x:c>
      <x:c r="K426" s="70" t="b">
        <x:v>1</x:v>
      </x:c>
      <x:c r="L426" s="70" t="b">
        <x:v>1</x:v>
      </x:c>
      <x:c r="M426" s="70" t="b">
        <x:v>1</x:v>
      </x:c>
      <x:c r="N426" s="69" t="n">
        <x:v>3</x:v>
      </x:c>
      <x:c r="O426" s="69" t="n">
        <x:v>0</x:v>
      </x:c>
      <x:c r="P426" s="69" t="str">
        <x:v>scripts/check_trace_net_raw_to_answer_context_engineered_native_v1_quality.py; scripts/run_trace_net_raw_to_answer_context_engineered_native_v1.py; tests/unit/test_trace_net_raw_to_answer_context_engineered_native_v1_quality.py</x:v>
      </x:c>
      <x:c r="Q426" s="71" t="n">
        <x:v>0.95</x:v>
      </x:c>
      <x:c r="R426" s="69" t="str">
        <x:v>inventory stage: benchmarks</x:v>
      </x:c>
      <x:c r="S426" s="69" t="str">
        <x:v>Primary implementation belongs to the validation stage based on filename, imports, and inventory evidence.</x:v>
      </x:c>
      <x:c r="T426" s="69" t="str">
        <x:v>Update imports and retain the old tiff module as a wrapper when callers exist.</x:v>
      </x:c>
      <x:c r="U426" s="69" t="str">
        <x:v>11434</x:v>
      </x:c>
      <x:c r="V426" s="69" t="str">
        <x:v>TRACE_NET_RAW_TO_ANSWER_CONTEXT_ENGINEERED_NATIVE_BUILT</x:v>
      </x:c>
      <x:c r="W426" s="69" t="str"/>
      <x:c r="X426" s="72" t="n">
        <x:v>32031</x:v>
      </x:c>
      <x:c r="Y426" s="70" t="b">
        <x:v>1</x:v>
      </x:c>
      <x:c r="Z426" s="69" t="str">
        <x:v>Protected runtime</x:v>
      </x:c>
      <x:c r="AA426" s="69" t="str">
        <x:v>https://github.com/jwild2027/heico-ai-internship-summer-2026/blob/srv/tiff/trace_net_raw_to_answer_context_engineered_native_v1.py</x:v>
      </x:c>
      <x:c r="AB426" s="69" t="str">
        <x:v>shared &lt;= string:contract; ingestion &lt;= path:tiff, import:tiff, string:tiff; ocr &lt;= string:ocr, string:tesseract; tables &lt;= string:table; graph &lt;= import:graph, import:leiden, string:community, string:graph, string:leiden; embeddings &lt;= string:qdrant</x:v>
      </x:c>
    </x:row>
    <x:row r="427">
      <x:c r="A427" s="68" t="n">
        <x:v>426</x:v>
      </x:c>
      <x:c r="B427" s="69" t="str">
        <x:v>tiff/trace_net_raw_to_answer_e2e_smoke_native_v1.py</x:v>
      </x:c>
      <x:c r="C427" s="69" t="str">
        <x:v>trace_net_raw_to_answer_e2e_smoke_native_v1.py</x:v>
      </x:c>
      <x:c r="D427" s="69" t="str">
        <x:v>benchmarks</x:v>
      </x:c>
      <x:c r="E427" s="69" t="str">
        <x:v>ingestion</x:v>
      </x:c>
      <x:c r="F427" s="69" t="str">
        <x:v>validation</x:v>
      </x:c>
      <x:c r="G427" s="69" t="str">
        <x:v>src/trace_net/validation/</x:v>
      </x:c>
      <x:c r="H427" s="69" t="str">
        <x:v>src/trace_net/validation/trace_net_raw_to_answer_e2e_smoke_native_v1.py</x:v>
      </x:c>
      <x:c r="I427" s="69" t="str">
        <x:v>active library module</x:v>
      </x:c>
      <x:c r="J427" s="69" t="str">
        <x:v>MOVE_WITH_PROTECTED_COMPATIBILITY_WRAPPER</x:v>
      </x:c>
      <x:c r="K427" s="70" t="b">
        <x:v>1</x:v>
      </x:c>
      <x:c r="L427" s="70" t="b">
        <x:v>1</x:v>
      </x:c>
      <x:c r="M427" s="70" t="b">
        <x:v>1</x:v>
      </x:c>
      <x:c r="N427" s="69" t="n">
        <x:v>3</x:v>
      </x:c>
      <x:c r="O427" s="69" t="n">
        <x:v>0</x:v>
      </x:c>
      <x:c r="P427" s="69" t="str">
        <x:v>scripts/check_trace_net_raw_to_answer_e2e_smoke_native_v1_quality.py; scripts/run_trace_net_raw_to_answer_e2e_smoke_native_v1.py; tiff/trace_net_raw_to_answer_context_engineered_native_v1.py</x:v>
      </x:c>
      <x:c r="Q427" s="71" t="n">
        <x:v>0.95</x:v>
      </x:c>
      <x:c r="R427" s="69" t="str">
        <x:v>inventory stage: benchmarks</x:v>
      </x:c>
      <x:c r="S427" s="69" t="str">
        <x:v>Primary implementation belongs to the validation stage based on filename, imports, and inventory evidence.</x:v>
      </x:c>
      <x:c r="T427" s="69" t="str">
        <x:v>Update imports and retain the old tiff module as a wrapper when callers exist.</x:v>
      </x:c>
      <x:c r="U427" s="69" t="str">
        <x:v>11434</x:v>
      </x:c>
      <x:c r="V427" s="69" t="str">
        <x:v>TRACE_NET_RAW_TO_ANSWER_E2E_SMOKE_NATIVE_BUILT</x:v>
      </x:c>
      <x:c r="W427" s="69" t="str"/>
      <x:c r="X427" s="72" t="n">
        <x:v>32922</x:v>
      </x:c>
      <x:c r="Y427" s="70" t="b">
        <x:v>1</x:v>
      </x:c>
      <x:c r="Z427" s="69" t="str">
        <x:v>Protected runtime</x:v>
      </x:c>
      <x:c r="AA427" s="69" t="str">
        <x:v>https://github.com/jwild2027/heico-ai-internship-summer-2026/blob/srv/tiff/trace_net_raw_to_answer_e2e_smoke_native_v1.py</x:v>
      </x:c>
      <x:c r="AB427" s="69" t="str">
        <x:v>shared &lt;= string:contract; ingestion &lt;= path:tiff, string:scan_pack, string:tiff; ocr &lt;= string:ocr, string:psm, string:tesseract; visual &lt;= string:visual; tables &lt;= string:table; graph &lt;= string:graph</x:v>
      </x:c>
    </x:row>
    <x:row r="428">
      <x:c r="A428" s="68" t="n">
        <x:v>427</x:v>
      </x:c>
      <x:c r="B428" s="69" t="str">
        <x:v>tiff/trace_net_raw_to_answer_e2e_smoke_v1.py</x:v>
      </x:c>
      <x:c r="C428" s="69" t="str">
        <x:v>trace_net_raw_to_answer_e2e_smoke_v1.py</x:v>
      </x:c>
      <x:c r="D428" s="69" t="str">
        <x:v>benchmarks</x:v>
      </x:c>
      <x:c r="E428" s="69" t="str">
        <x:v>ingestion, serving</x:v>
      </x:c>
      <x:c r="F428" s="69" t="str">
        <x:v>validation</x:v>
      </x:c>
      <x:c r="G428" s="69" t="str">
        <x:v>src/trace_net/validation/</x:v>
      </x:c>
      <x:c r="H428" s="69" t="str">
        <x:v>src/trace_net/validation/trace_net_raw_to_answer_e2e_smoke_v1.py</x:v>
      </x:c>
      <x:c r="I428" s="69" t="str">
        <x:v>active library module</x:v>
      </x:c>
      <x:c r="J428" s="69" t="str">
        <x:v>MOVE_WITH_PROTECTED_COMPATIBILITY_WRAPPER</x:v>
      </x:c>
      <x:c r="K428" s="70" t="b">
        <x:v>1</x:v>
      </x:c>
      <x:c r="L428" s="70" t="b">
        <x:v>1</x:v>
      </x:c>
      <x:c r="M428" s="70" t="b">
        <x:v>1</x:v>
      </x:c>
      <x:c r="N428" s="69" t="n">
        <x:v>5</x:v>
      </x:c>
      <x:c r="O428" s="69" t="n">
        <x:v>0</x:v>
      </x:c>
      <x:c r="P428" s="69" t="str">
        <x:v>scripts/check_trace_net_raw_to_answer_e2e_smoke_v1_quality.py; scripts/run_trace_net_executive_tiff_demo_v4.py; scripts/run_trace_net_raw_to_answer_e2e_smoke_v1.py; tests/unit/test_trace_net_raw_to_answer_e2e_smoke_v1.py; tests/unit/test_trace_net_raw_to_answer_e2e_smoke_v1_quality.py</x:v>
      </x:c>
      <x:c r="Q428" s="71" t="n">
        <x:v>0.95</x:v>
      </x:c>
      <x:c r="R428" s="69" t="str">
        <x:v>inventory stage: benchmarks</x:v>
      </x:c>
      <x:c r="S428" s="69" t="str">
        <x:v>Primary implementation belongs to the validation stage based on filename, imports, and inventory evidence.</x:v>
      </x:c>
      <x:c r="T428" s="69" t="str">
        <x:v>Update imports and retain the old tiff module as a wrapper when callers exist.</x:v>
      </x:c>
      <x:c r="U428" s="69" t="str">
        <x:v>11434</x:v>
      </x:c>
      <x:c r="V428" s="69" t="str">
        <x:v>TRACE_NET_RAW_TO_ANSWER_E2E_SMOKE_BUILT, TRACE_NET_RAW_TO_ANSWER_E2E_SMOKE_ERROR</x:v>
      </x:c>
      <x:c r="W428" s="69" t="str"/>
      <x:c r="X428" s="72" t="n">
        <x:v>38806</x:v>
      </x:c>
      <x:c r="Y428" s="70" t="b">
        <x:v>1</x:v>
      </x:c>
      <x:c r="Z428" s="69" t="str">
        <x:v>Protected runtime</x:v>
      </x:c>
      <x:c r="AA428" s="69" t="str">
        <x:v>https://github.com/jwild2027/heico-ai-internship-summer-2026/blob/srv/tiff/trace_net_raw_to_answer_e2e_smoke_v1.py</x:v>
      </x:c>
      <x:c r="AB428" s="69" t="str">
        <x:v>shared &lt;= symbol:contract, string:contract; ingestion &lt;= path:tiff, symbol:scan_pack, string:tiff; ocr &lt;= symbol:ocr, string:ocr, string:tesseract; visual &lt;= string:visual; tables &lt;= string:table; graph &lt;= string:graph</x:v>
      </x:c>
    </x:row>
    <x:row r="429">
      <x:c r="A429" s="68" t="n">
        <x:v>428</x:v>
      </x:c>
      <x:c r="B429" s="69" t="str">
        <x:v>tiff/trace_net_regression_eval_v1.py</x:v>
      </x:c>
      <x:c r="C429" s="69" t="str">
        <x:v>trace_net_regression_eval_v1.py</x:v>
      </x:c>
      <x:c r="D429" s="69" t="str">
        <x:v>benchmarks</x:v>
      </x:c>
      <x:c r="E429" s="69" t="str"/>
      <x:c r="F429" s="69" t="str">
        <x:v>tests/regression</x:v>
      </x:c>
      <x:c r="G429" s="69" t="str">
        <x:v>tests/regression/</x:v>
      </x:c>
      <x:c r="H429" s="69" t="str">
        <x:v>tests/regression/trace_net_regression_eval_v1.py</x:v>
      </x:c>
      <x:c r="I429" s="69" t="str">
        <x:v>regression test runner/report</x:v>
      </x:c>
      <x:c r="J429" s="69" t="str">
        <x:v>MOVE_TO_REGRESSION_UPDATE_IMPORTS</x:v>
      </x:c>
      <x:c r="K429" s="70" t="b">
        <x:v>1</x:v>
      </x:c>
      <x:c r="L429" s="70" t="b">
        <x:v>0</x:v>
      </x:c>
      <x:c r="M429" s="70" t="b">
        <x:v>0</x:v>
      </x:c>
      <x:c r="N429" s="69" t="n">
        <x:v>4</x:v>
      </x:c>
      <x:c r="O429" s="69" t="n">
        <x:v>0</x:v>
      </x:c>
      <x:c r="P429" s="69" t="str">
        <x:v>scripts/check_trace_net_regression_eval_v1_quality.py; scripts/run_trace_net_regression_eval_v1.py; tests/unit/test_trace_net_regression_eval_v1.py; tests/unit/test_trace_net_regression_eval_v1_quality.py</x:v>
      </x:c>
      <x:c r="Q429" s="71" t="n">
        <x:v>0.97</x:v>
      </x:c>
      <x:c r="R429" s="69" t="str">
        <x:v>inventory stage: benchmarks</x:v>
      </x:c>
      <x:c r="S429" s="69" t="str">
        <x:v>Regression evaluation/reporting belongs with regression test infrastructure.</x:v>
      </x:c>
      <x:c r="T429" s="69" t="str">
        <x:v>Preserve CLI behavior and expected output paths.</x:v>
      </x:c>
      <x:c r="U429" s="69" t="str"/>
      <x:c r="V429" s="69" t="str"/>
      <x:c r="W429" s="69" t="str"/>
      <x:c r="X429" s="72" t="n">
        <x:v>41302</x:v>
      </x:c>
      <x:c r="Y429" s="70" t="b">
        <x:v>1</x:v>
      </x:c>
      <x:c r="Z429" s="69" t="str">
        <x:v>Straight move</x:v>
      </x:c>
      <x:c r="AA429" s="69" t="str">
        <x:v>https://github.com/jwild2027/heico-ai-internship-summer-2026/blob/srv/tiff/trace_net_regression_eval_v1.py</x:v>
      </x:c>
      <x:c r="AB429" s="69" t="str">
        <x:v>shared &lt;= string:schema; ingestion &lt;= path:tiff; visual &lt;= string:vision; embeddings &lt;= string:embedding, string:qdrant; retrieval &lt;= string:retriev; router &lt;= string:routing</x:v>
      </x:c>
    </x:row>
    <x:row r="430">
      <x:c r="A430" s="68" t="n">
        <x:v>429</x:v>
      </x:c>
      <x:c r="B430" s="69" t="str">
        <x:v>tiff/trace_net_regression_report.py</x:v>
      </x:c>
      <x:c r="C430" s="69" t="str">
        <x:v>trace_net_regression_report.py</x:v>
      </x:c>
      <x:c r="D430" s="69" t="str">
        <x:v>benchmarks</x:v>
      </x:c>
      <x:c r="E430" s="69" t="str">
        <x:v>ingestion</x:v>
      </x:c>
      <x:c r="F430" s="69" t="str">
        <x:v>tests/regression</x:v>
      </x:c>
      <x:c r="G430" s="69" t="str">
        <x:v>tests/regression/</x:v>
      </x:c>
      <x:c r="H430" s="69" t="str">
        <x:v>tests/regression/trace_net_regression_report.py</x:v>
      </x:c>
      <x:c r="I430" s="69" t="str">
        <x:v>regression test runner/report</x:v>
      </x:c>
      <x:c r="J430" s="69" t="str">
        <x:v>MOVE_TO_REGRESSION_UPDATE_IMPORTS</x:v>
      </x:c>
      <x:c r="K430" s="70" t="b">
        <x:v>1</x:v>
      </x:c>
      <x:c r="L430" s="70" t="b">
        <x:v>0</x:v>
      </x:c>
      <x:c r="M430" s="70" t="b">
        <x:v>0</x:v>
      </x:c>
      <x:c r="N430" s="69" t="n">
        <x:v>2</x:v>
      </x:c>
      <x:c r="O430" s="69" t="n">
        <x:v>0</x:v>
      </x:c>
      <x:c r="P430" s="69" t="str">
        <x:v>scripts/build_trace_net_regression_report.py; tests/unit/test_tiff_trace_net_regression_report.py</x:v>
      </x:c>
      <x:c r="Q430" s="71" t="n">
        <x:v>0.97</x:v>
      </x:c>
      <x:c r="R430" s="69" t="str">
        <x:v>inventory stage: benchmarks</x:v>
      </x:c>
      <x:c r="S430" s="69" t="str">
        <x:v>Regression evaluation/reporting belongs with regression test infrastructure.</x:v>
      </x:c>
      <x:c r="T430" s="69" t="str">
        <x:v>Preserve CLI behavior and expected output paths.</x:v>
      </x:c>
      <x:c r="U430" s="69" t="str"/>
      <x:c r="V430" s="69" t="str"/>
      <x:c r="W430" s="69" t="str"/>
      <x:c r="X430" s="72" t="n">
        <x:v>27272</x:v>
      </x:c>
      <x:c r="Y430" s="70" t="b">
        <x:v>1</x:v>
      </x:c>
      <x:c r="Z430" s="69" t="str">
        <x:v>Straight move</x:v>
      </x:c>
      <x:c r="AA430" s="69" t="str">
        <x:v>https://github.com/jwild2027/heico-ai-internship-summer-2026/blob/srv/tiff/trace_net_regression_report.py</x:v>
      </x:c>
      <x:c r="AB430" s="69" t="str">
        <x:v>ingestion &lt;= path:tiff, string:tiff; ocr &lt;= string:ocr; tables &lt;= string:table; graph &lt;= symbol:graph, string:graph; retrieval &lt;= string:retriev; validation &lt;= string:consensus</x:v>
      </x:c>
    </x:row>
    <x:row r="431">
      <x:c r="A431" s="68" t="n">
        <x:v>430</x:v>
      </x:c>
      <x:c r="B431" s="69" t="str">
        <x:v>tiff/trace_net_regression_report_quality.py</x:v>
      </x:c>
      <x:c r="C431" s="69" t="str">
        <x:v>trace_net_regression_report_quality.py</x:v>
      </x:c>
      <x:c r="D431" s="69" t="str">
        <x:v>benchmarks</x:v>
      </x:c>
      <x:c r="E431" s="69" t="str">
        <x:v>ingestion</x:v>
      </x:c>
      <x:c r="F431" s="69" t="str">
        <x:v>tests/regression</x:v>
      </x:c>
      <x:c r="G431" s="69" t="str">
        <x:v>tests/regression/</x:v>
      </x:c>
      <x:c r="H431" s="69" t="str">
        <x:v>tests/regression/trace_net_regression_report_quality.py</x:v>
      </x:c>
      <x:c r="I431" s="69" t="str">
        <x:v>regression test runner/report</x:v>
      </x:c>
      <x:c r="J431" s="69" t="str">
        <x:v>MOVE_TO_REGRESSION_UPDATE_IMPORTS</x:v>
      </x:c>
      <x:c r="K431" s="70" t="b">
        <x:v>1</x:v>
      </x:c>
      <x:c r="L431" s="70" t="b">
        <x:v>0</x:v>
      </x:c>
      <x:c r="M431" s="70" t="b">
        <x:v>0</x:v>
      </x:c>
      <x:c r="N431" s="69" t="n">
        <x:v>2</x:v>
      </x:c>
      <x:c r="O431" s="69" t="n">
        <x:v>0</x:v>
      </x:c>
      <x:c r="P431" s="69" t="str">
        <x:v>scripts/check_trace_net_regression_report_quality.py; tests/unit/test_tiff_trace_net_regression_report_quality.py</x:v>
      </x:c>
      <x:c r="Q431" s="71" t="n">
        <x:v>0.97</x:v>
      </x:c>
      <x:c r="R431" s="69" t="str">
        <x:v>validation/quality naming</x:v>
      </x:c>
      <x:c r="S431" s="69" t="str">
        <x:v>Regression evaluation/reporting belongs with regression test infrastructure.</x:v>
      </x:c>
      <x:c r="T431" s="69" t="str">
        <x:v>Preserve CLI behavior and expected output paths.</x:v>
      </x:c>
      <x:c r="U431" s="69" t="str"/>
      <x:c r="V431" s="69" t="str"/>
      <x:c r="W431" s="69" t="str"/>
      <x:c r="X431" s="72" t="n">
        <x:v>9969</x:v>
      </x:c>
      <x:c r="Y431" s="70" t="b">
        <x:v>1</x:v>
      </x:c>
      <x:c r="Z431" s="69" t="str">
        <x:v>Straight move</x:v>
      </x:c>
      <x:c r="AA431" s="69" t="str">
        <x:v>https://github.com/jwild2027/heico-ai-internship-summer-2026/blob/srv/tiff/trace_net_regression_report_quality.py</x:v>
      </x:c>
      <x:c r="AB431" s="69" t="str">
        <x:v>ingestion &lt;= path:tiff; graph &lt;= string:graph; benchmarks &lt;= path:regression, string:regression; referenced_by_count=1; imported_by_count=2</x:v>
      </x:c>
    </x:row>
    <x:row r="432">
      <x:c r="A432" s="68" t="n">
        <x:v>431</x:v>
      </x:c>
      <x:c r="B432" s="69" t="str">
        <x:v>tiff/trace_net_repair.py</x:v>
      </x:c>
      <x:c r="C432" s="69" t="str">
        <x:v>trace_net_repair.py</x:v>
      </x:c>
      <x:c r="D432" s="69" t="str">
        <x:v>ingestion</x:v>
      </x:c>
      <x:c r="E432" s="69" t="str">
        <x:v>tables, validation, serving, visual</x:v>
      </x:c>
      <x:c r="F432" s="69" t="str">
        <x:v>ingestion</x:v>
      </x:c>
      <x:c r="G432" s="69" t="str">
        <x:v>src/trace_net/ingestion/</x:v>
      </x:c>
      <x:c r="H432" s="69" t="str">
        <x:v>src/trace_net/ingestion/trace_net_repair.py</x:v>
      </x:c>
      <x:c r="I432" s="69" t="str">
        <x:v>active library module</x:v>
      </x:c>
      <x:c r="J432" s="69" t="str">
        <x:v>MOVE_WITH_IMPORT_UPDATES_AND_COMPATIBILITY_WRAPPER</x:v>
      </x:c>
      <x:c r="K432" s="70" t="b">
        <x:v>1</x:v>
      </x:c>
      <x:c r="L432" s="70" t="b">
        <x:v>0</x:v>
      </x:c>
      <x:c r="M432" s="70" t="b">
        <x:v>1</x:v>
      </x:c>
      <x:c r="N432" s="69" t="n">
        <x:v>5</x:v>
      </x:c>
      <x:c r="O432" s="69" t="n">
        <x:v>0</x:v>
      </x:c>
      <x:c r="P432" s="69" t="str">
        <x:v>scripts/check_trace_net_repair_quality.py; scripts/plan_trace_net_repairs.py; tests/unit/test_tiff_trace_net_repair.py; tests/unit/test_tiff_trace_net_repair_quality.py; tests/unit/test_tiff_trace_net_table_route_refinement.py</x:v>
      </x:c>
      <x:c r="Q432" s="71" t="n">
        <x:v>0.95</x:v>
      </x:c>
      <x:c r="R432" s="69" t="str">
        <x:v>inventory stage: ingestion</x:v>
      </x:c>
      <x:c r="S432" s="69" t="str">
        <x:v>Primary implementation belongs to the ingestion stage based on filename, imports, and inventory evidence.</x:v>
      </x:c>
      <x:c r="T432" s="69" t="str">
        <x:v>Update imports and retain the old tiff module as a wrapper when callers exist.</x:v>
      </x:c>
      <x:c r="U432" s="69" t="str"/>
      <x:c r="V432" s="69" t="str"/>
      <x:c r="W432" s="69" t="str"/>
      <x:c r="X432" s="72" t="n">
        <x:v>60795</x:v>
      </x:c>
      <x:c r="Y432" s="70" t="b">
        <x:v>1</x:v>
      </x:c>
      <x:c r="Z432" s="69" t="str">
        <x:v>Compatibility required</x:v>
      </x:c>
      <x:c r="AA432" s="69" t="str">
        <x:v>https://github.com/jwild2027/heico-ai-internship-summer-2026/blob/srv/tiff/trace_net_repair.py</x:v>
      </x:c>
      <x:c r="AB432" s="69" t="str">
        <x:v>shared &lt;= symbol:trust_tier, string:common; ingestion &lt;= path:tiff, string:convert, string:page_image; ocr &lt;= string:ocr; visual &lt;= symbol:visual, string:diagram, string:vision, string:visual; tables &lt;= symbol:table, string:parts_list, string:table; graph &lt;= symbol:graph, string:graph</x:v>
      </x:c>
    </x:row>
    <x:row r="433">
      <x:c r="A433" s="68" t="n">
        <x:v>432</x:v>
      </x:c>
      <x:c r="B433" s="69" t="str">
        <x:v>tiff/trace_net_repair_quality.py</x:v>
      </x:c>
      <x:c r="C433" s="69" t="str">
        <x:v>trace_net_repair_quality.py</x:v>
      </x:c>
      <x:c r="D433" s="69" t="str">
        <x:v>validation</x:v>
      </x:c>
      <x:c r="E433" s="69" t="str">
        <x:v>ingestion</x:v>
      </x:c>
      <x:c r="F433" s="69" t="str">
        <x:v>validation</x:v>
      </x:c>
      <x:c r="G433" s="69" t="str">
        <x:v>src/trace_net/validation/</x:v>
      </x:c>
      <x:c r="H433" s="69" t="str">
        <x:v>src/trace_net/validation/trace_net_repair_quality.py</x:v>
      </x:c>
      <x:c r="I433" s="69" t="str">
        <x:v>quality validator module</x:v>
      </x:c>
      <x:c r="J433" s="69" t="str">
        <x:v>MOVE_TO_SOURCE_PACKAGE</x:v>
      </x:c>
      <x:c r="K433" s="70" t="b">
        <x:v>1</x:v>
      </x:c>
      <x:c r="L433" s="70" t="b">
        <x:v>0</x:v>
      </x:c>
      <x:c r="M433" s="70" t="b">
        <x:v>0</x:v>
      </x:c>
      <x:c r="N433" s="69" t="n">
        <x:v>0</x:v>
      </x:c>
      <x:c r="O433" s="69" t="n">
        <x:v>0</x:v>
      </x:c>
      <x:c r="P433" s="69" t="str"/>
      <x:c r="Q433" s="71" t="n">
        <x:v>0.97</x:v>
      </x:c>
      <x:c r="R433" s="69" t="str">
        <x:v>validation/quality naming</x:v>
      </x:c>
      <x:c r="S433" s="69" t="str">
        <x:v>Quality logic is reusable source code for the validation stage.</x:v>
      </x:c>
      <x:c r="T433" s="69" t="str">
        <x:v>Update test and script imports; retain the old tiff import as a thin wrapper until PASS.</x:v>
      </x:c>
      <x:c r="U433" s="69" t="str"/>
      <x:c r="V433" s="69" t="str"/>
      <x:c r="W433" s="69" t="str"/>
      <x:c r="X433" s="72" t="n">
        <x:v>9463</x:v>
      </x:c>
      <x:c r="Y433" s="70" t="b">
        <x:v>1</x:v>
      </x:c>
      <x:c r="Z433" s="69" t="str">
        <x:v>Straight move</x:v>
      </x:c>
      <x:c r="AA433" s="69" t="str">
        <x:v>https://github.com/jwild2027/heico-ai-internship-summer-2026/blob/srv/tiff/trace_net_repair_quality.py</x:v>
      </x:c>
      <x:c r="AB433" s="69" t="str">
        <x:v>shared &lt;= string:trust_tier; ingestion &lt;= path:tiff; visual &lt;= string:visual; tables &lt;= string:table; graph &lt;= string:graph; validation &lt;= path:repair_quality, symbol:repair_quality, string:repair_quality</x:v>
      </x:c>
    </x:row>
    <x:row r="434">
      <x:c r="A434" s="68" t="n">
        <x:v>433</x:v>
      </x:c>
      <x:c r="B434" s="69" t="str">
        <x:v>tiff/trace_net_retrieval_critic_v1.py</x:v>
      </x:c>
      <x:c r="C434" s="69" t="str">
        <x:v>trace_net_retrieval_critic_v1.py</x:v>
      </x:c>
      <x:c r="D434" s="69" t="str">
        <x:v>retrieval</x:v>
      </x:c>
      <x:c r="E434" s="69" t="str">
        <x:v>benchmarks, validation, tables, ingestion</x:v>
      </x:c>
      <x:c r="F434" s="69" t="str">
        <x:v>validation</x:v>
      </x:c>
      <x:c r="G434" s="69" t="str">
        <x:v>src/trace_net/validation/</x:v>
      </x:c>
      <x:c r="H434" s="69" t="str">
        <x:v>src/trace_net/validation/trace_net_retrieval_critic_v1.py</x:v>
      </x:c>
      <x:c r="I434" s="69" t="str">
        <x:v>runtime validation/gating module</x:v>
      </x:c>
      <x:c r="J434" s="69" t="str">
        <x:v>MOVE_WITH_IMPORT_UPDATES_AND_COMPATIBILITY_WRAPPER</x:v>
      </x:c>
      <x:c r="K434" s="70" t="b">
        <x:v>1</x:v>
      </x:c>
      <x:c r="L434" s="70" t="b">
        <x:v>0</x:v>
      </x:c>
      <x:c r="M434" s="70" t="b">
        <x:v>1</x:v>
      </x:c>
      <x:c r="N434" s="69" t="n">
        <x:v>4</x:v>
      </x:c>
      <x:c r="O434" s="69" t="n">
        <x:v>0</x:v>
      </x:c>
      <x:c r="P434" s="69" t="str">
        <x:v>scripts/build_trace_net_retrieval_critic_v1.py; scripts/check_trace_net_retrieval_critic_v1_quality.py; tests/unit/test_trace_net_retrieval_critic_v1.py; tests/unit/test_trace_net_retrieval_critic_v1_quality.py</x:v>
      </x:c>
      <x:c r="Q434" s="71" t="n">
        <x:v>0.96</x:v>
      </x:c>
      <x:c r="R434" s="69" t="str">
        <x:v>cross-cutting validation/reliability</x:v>
      </x:c>
      <x:c r="S434" s="69" t="str">
        <x:v>Implements a runtime gate, critic, hardener, or evidence sufficiency check.</x:v>
      </x:c>
      <x:c r="T434" s="69" t="str">
        <x:v>Preserve gating semantics and old import path until focused tests pass.</x:v>
      </x:c>
      <x:c r="U434" s="69" t="str"/>
      <x:c r="V434" s="69" t="str"/>
      <x:c r="W434" s="69" t="str"/>
      <x:c r="X434" s="72" t="n">
        <x:v>39712</x:v>
      </x:c>
      <x:c r="Y434" s="70" t="b">
        <x:v>1</x:v>
      </x:c>
      <x:c r="Z434" s="69" t="str">
        <x:v>Compatibility required</x:v>
      </x:c>
      <x:c r="AA434" s="69" t="str">
        <x:v>https://github.com/jwild2027/heico-ai-internship-summer-2026/blob/srv/tiff/trace_net_retrieval_critic_v1.py</x:v>
      </x:c>
      <x:c r="AB434" s="69" t="str">
        <x:v>shared &lt;= string:contract, string:helper, string:schema; ingestion &lt;= path:tiff; ocr &lt;= string:ocr; visual &lt;= string:callout, string:diagram, string:vision, string:visual; tables &lt;= symbol:table, string:table, string:table_cell, string:table_row; graph &lt;= string:community, string:leiden</x:v>
      </x:c>
    </x:row>
    <x:row r="435">
      <x:c r="A435" s="68" t="n">
        <x:v>434</x:v>
      </x:c>
      <x:c r="B435" s="69" t="str">
        <x:v>tiff/trace_net_retrieval_payload_audit_v1.py</x:v>
      </x:c>
      <x:c r="C435" s="69" t="str">
        <x:v>trace_net_retrieval_payload_audit_v1.py</x:v>
      </x:c>
      <x:c r="D435" s="69" t="str">
        <x:v>retrieval</x:v>
      </x:c>
      <x:c r="E435" s="69" t="str">
        <x:v>benchmarks, ingestion</x:v>
      </x:c>
      <x:c r="F435" s="69" t="str">
        <x:v>retrieval</x:v>
      </x:c>
      <x:c r="G435" s="69" t="str">
        <x:v>src/trace_net/retrieval/</x:v>
      </x:c>
      <x:c r="H435" s="69" t="str">
        <x:v>src/trace_net/retrieval/trace_net_retrieval_payload_audit_v1.py</x:v>
      </x:c>
      <x:c r="I435" s="69" t="str">
        <x:v>active library module</x:v>
      </x:c>
      <x:c r="J435" s="69" t="str">
        <x:v>MOVE_WITH_IMPORT_UPDATES_AND_COMPATIBILITY_WRAPPER</x:v>
      </x:c>
      <x:c r="K435" s="70" t="b">
        <x:v>1</x:v>
      </x:c>
      <x:c r="L435" s="70" t="b">
        <x:v>0</x:v>
      </x:c>
      <x:c r="M435" s="70" t="b">
        <x:v>1</x:v>
      </x:c>
      <x:c r="N435" s="69" t="n">
        <x:v>4</x:v>
      </x:c>
      <x:c r="O435" s="69" t="n">
        <x:v>0</x:v>
      </x:c>
      <x:c r="P435" s="69" t="str">
        <x:v>scripts/build_trace_net_retrieval_payload_audit_v1.py; scripts/check_trace_net_retrieval_payload_audit_v1_quality.py; tests/unit/test_trace_net_retrieval_payload_audit_v1.py; tests/unit/test_trace_net_retrieval_payload_audit_v1_quality.py</x:v>
      </x:c>
      <x:c r="Q435" s="71" t="n">
        <x:v>0.95</x:v>
      </x:c>
      <x:c r="R435" s="69" t="str">
        <x:v>retrieval/search naming</x:v>
      </x:c>
      <x:c r="S435" s="69" t="str">
        <x:v>Primary implementation belongs to the retrieval stage based on filename, imports, and inventory evidence.</x:v>
      </x:c>
      <x:c r="T435" s="69" t="str">
        <x:v>Update imports and retain the old tiff module as a wrapper when callers exist.</x:v>
      </x:c>
      <x:c r="U435" s="69" t="str"/>
      <x:c r="V435" s="69" t="str">
        <x:v>TRACE_NET_RETRIEVAL_PAYLOAD_AUDIT_BUILT</x:v>
      </x:c>
      <x:c r="W435" s="69" t="str"/>
      <x:c r="X435" s="72" t="n">
        <x:v>32099</x:v>
      </x:c>
      <x:c r="Y435" s="70" t="b">
        <x:v>1</x:v>
      </x:c>
      <x:c r="Z435" s="69" t="str">
        <x:v>Compatibility required</x:v>
      </x:c>
      <x:c r="AA435" s="69" t="str">
        <x:v>https://github.com/jwild2027/heico-ai-internship-summer-2026/blob/srv/tiff/trace_net_retrieval_payload_audit_v1.py</x:v>
      </x:c>
      <x:c r="AB435" s="69" t="str">
        <x:v>shared &lt;= string:contract; ingestion &lt;= path:tiff, string:scan_pack, string:tiff; ocr &lt;= symbol:ocr, string:ocr, string:psm, string:tesseract; visual &lt;= string:callout, string:diagram, string:visual; tables &lt;= string:table; embeddings &lt;= symbol:qdrant, string:embedding, string:qdrant</x:v>
      </x:c>
    </x:row>
    <x:row r="436">
      <x:c r="A436" s="68" t="n">
        <x:v>435</x:v>
      </x:c>
      <x:c r="B436" s="69" t="str">
        <x:v>tiff/trace_net_route_confidence_resolver_v1.py</x:v>
      </x:c>
      <x:c r="C436" s="69" t="str">
        <x:v>trace_net_route_confidence_resolver_v1.py</x:v>
      </x:c>
      <x:c r="D436" s="69" t="str">
        <x:v>router</x:v>
      </x:c>
      <x:c r="E436" s="69" t="str">
        <x:v>ingestion</x:v>
      </x:c>
      <x:c r="F436" s="69" t="str">
        <x:v>router</x:v>
      </x:c>
      <x:c r="G436" s="69" t="str">
        <x:v>src/trace_net/router/</x:v>
      </x:c>
      <x:c r="H436" s="69" t="str">
        <x:v>src/trace_net/router/trace_net_route_confidence_resolver_v1.py</x:v>
      </x:c>
      <x:c r="I436" s="69" t="str">
        <x:v>artifact builder implementation</x:v>
      </x:c>
      <x:c r="J436" s="69" t="str">
        <x:v>MOVE_WITH_IMPORT_UPDATES_AND_COMPATIBILITY_WRAPPER</x:v>
      </x:c>
      <x:c r="K436" s="70" t="b">
        <x:v>1</x:v>
      </x:c>
      <x:c r="L436" s="70" t="b">
        <x:v>0</x:v>
      </x:c>
      <x:c r="M436" s="70" t="b">
        <x:v>1</x:v>
      </x:c>
      <x:c r="N436" s="69" t="n">
        <x:v>7</x:v>
      </x:c>
      <x:c r="O436" s="69" t="n">
        <x:v>0</x:v>
      </x:c>
      <x:c r="P436" s="69" t="str">
        <x:v>scripts/build_trace_net_route_confidence_resolver_v1.py; scripts/check_trace_net_route_confidence_resolver_v1_quality.py; tests/unit/test_trace_net_route_confidence_resolver_v1.py; tests/unit/test_trace_net_route_confidence_resolver_v1_front_matter_clamp.py; tests/unit/test_trace_net_route_confidence_resolver_v1_quality.py; tests/unit/test_trace_net_route_confidence_resolver_v1_visual_diagram_clamp.py; tests/unit/test_trace_net_route_confidence_scan_quality_contract_v1.py</x:v>
      </x:c>
      <x:c r="Q436" s="71" t="n">
        <x:v>0.96</x:v>
      </x:c>
      <x:c r="R436" s="69" t="str">
        <x:v>router/route naming</x:v>
      </x:c>
      <x:c r="S436" s="69" t="str">
        <x:v>Build implementation is imported by active wrappers/tests and belongs to the router package.</x:v>
      </x:c>
      <x:c r="T436" s="69" t="str">
        <x:v>Update wrapper imports and compare generated artifact counts/checksums.</x:v>
      </x:c>
      <x:c r="U436" s="69" t="str"/>
      <x:c r="V436" s="69" t="str">
        <x:v>TRACE_NET_ROUTE_CONFIDENCE_RESOLVER_BUILT</x:v>
      </x:c>
      <x:c r="W436" s="69" t="str"/>
      <x:c r="X436" s="72" t="n">
        <x:v>37684</x:v>
      </x:c>
      <x:c r="Y436" s="70" t="b">
        <x:v>1</x:v>
      </x:c>
      <x:c r="Z436" s="69" t="str">
        <x:v>Compatibility required</x:v>
      </x:c>
      <x:c r="AA436" s="69" t="str">
        <x:v>https://github.com/jwild2027/heico-ai-internship-summer-2026/blob/srv/tiff/trace_net_route_confidence_resolver_v1.py</x:v>
      </x:c>
      <x:c r="AB436" s="69" t="str">
        <x:v>shared &lt;= string:contract; ingestion &lt;= path:tiff, import:tiff, string:convert, string:scan_pack; ocr &lt;= string:ocr; visual &lt;= string:diagram, string:image_visual, string:vision, string:visual; tables &lt;= string:detailed_parts_list, string:ipl, string:parts_list, string:table; graph &lt;= string:graph</x:v>
      </x:c>
    </x:row>
    <x:row r="437">
      <x:c r="A437" s="68" t="n">
        <x:v>436</x:v>
      </x:c>
      <x:c r="B437" s="69" t="str">
        <x:v>tiff/trace_net_route_contract_integration_audit_v1.py</x:v>
      </x:c>
      <x:c r="C437" s="69" t="str">
        <x:v>trace_net_route_contract_integration_audit_v1.py</x:v>
      </x:c>
      <x:c r="D437" s="69" t="str">
        <x:v>shared</x:v>
      </x:c>
      <x:c r="E437" s="69" t="str">
        <x:v>visual, ingestion</x:v>
      </x:c>
      <x:c r="F437" s="69" t="str">
        <x:v>router</x:v>
      </x:c>
      <x:c r="G437" s="69" t="str">
        <x:v>src/trace_net/router/</x:v>
      </x:c>
      <x:c r="H437" s="69" t="str">
        <x:v>src/trace_net/router/trace_net_route_contract_integration_audit_v1.py</x:v>
      </x:c>
      <x:c r="I437" s="69" t="str">
        <x:v>active library module</x:v>
      </x:c>
      <x:c r="J437" s="69" t="str">
        <x:v>MOVE_WITH_IMPORT_UPDATES_AND_COMPATIBILITY_WRAPPER</x:v>
      </x:c>
      <x:c r="K437" s="70" t="b">
        <x:v>1</x:v>
      </x:c>
      <x:c r="L437" s="70" t="b">
        <x:v>0</x:v>
      </x:c>
      <x:c r="M437" s="70" t="b">
        <x:v>1</x:v>
      </x:c>
      <x:c r="N437" s="69" t="n">
        <x:v>4</x:v>
      </x:c>
      <x:c r="O437" s="69" t="n">
        <x:v>0</x:v>
      </x:c>
      <x:c r="P437" s="69" t="str">
        <x:v>scripts/build_trace_net_route_contract_integration_audit_v1.py; scripts/check_trace_net_route_contract_integration_audit_v1_quality.py; tests/unit/test_trace_net_route_contract_integration_audit_v1.py; tests/unit/test_trace_net_route_contract_integration_audit_v1_quality.py</x:v>
      </x:c>
      <x:c r="Q437" s="71" t="n">
        <x:v>0.95</x:v>
      </x:c>
      <x:c r="R437" s="69" t="str">
        <x:v>router/route naming</x:v>
      </x:c>
      <x:c r="S437" s="69" t="str">
        <x:v>Primary implementation belongs to the router stage based on filename, imports, and inventory evidence.</x:v>
      </x:c>
      <x:c r="T437" s="69" t="str">
        <x:v>Update imports and retain the old tiff module as a wrapper when callers exist.</x:v>
      </x:c>
      <x:c r="U437" s="69" t="str"/>
      <x:c r="V437" s="69" t="str">
        <x:v>TRACE_NET_ROUTE_CONTRACT_INTEGRATION_AUDIT_BUILT, TRACE_NET_ROUTE_CONTRACT_INTEGRATION_AUDIT_NOT_READY</x:v>
      </x:c>
      <x:c r="W437" s="69" t="str"/>
      <x:c r="X437" s="72" t="n">
        <x:v>30629</x:v>
      </x:c>
      <x:c r="Y437" s="70" t="b">
        <x:v>1</x:v>
      </x:c>
      <x:c r="Z437" s="69" t="str">
        <x:v>Compatibility required</x:v>
      </x:c>
      <x:c r="AA437" s="69" t="str">
        <x:v>https://github.com/jwild2027/heico-ai-internship-summer-2026/blob/srv/tiff/trace_net_route_contract_integration_audit_v1.py</x:v>
      </x:c>
      <x:c r="AB437" s="69" t="str">
        <x:v>shared &lt;= path:contract, symbol:contract, import:contract, string:contract, string:helper, string:schema, environment:contract; ingestion &lt;= path:tiff, import:tiff; visual &lt;= symbol:image_visual, symbol:visual, string:callout, string:image_visual, string:visual; tables &lt;= symbol:table, string:table; embeddings &lt;= string:qdrant; retrieval &lt;= string:opensearch, string:retriev</x:v>
      </x:c>
    </x:row>
    <x:row r="438">
      <x:c r="A438" s="68" t="n">
        <x:v>437</x:v>
      </x:c>
      <x:c r="B438" s="69" t="str">
        <x:v>tiff/trace_net_route_dispatch_contract_loader_v1.py</x:v>
      </x:c>
      <x:c r="C438" s="69" t="str">
        <x:v>trace_net_route_dispatch_contract_loader_v1.py</x:v>
      </x:c>
      <x:c r="D438" s="69" t="str">
        <x:v>shared</x:v>
      </x:c>
      <x:c r="E438" s="69" t="str">
        <x:v>ingestion, visual, tables, operations</x:v>
      </x:c>
      <x:c r="F438" s="69" t="str">
        <x:v>router</x:v>
      </x:c>
      <x:c r="G438" s="69" t="str">
        <x:v>src/trace_net/router/</x:v>
      </x:c>
      <x:c r="H438" s="69" t="str">
        <x:v>src/trace_net/router/trace_net_route_dispatch_contract_loader_v1.py</x:v>
      </x:c>
      <x:c r="I438" s="69" t="str">
        <x:v>data/storage integration module</x:v>
      </x:c>
      <x:c r="J438" s="69" t="str">
        <x:v>MOVE_WITH_IMPORT_UPDATES_AND_COMPATIBILITY_WRAPPER</x:v>
      </x:c>
      <x:c r="K438" s="70" t="b">
        <x:v>1</x:v>
      </x:c>
      <x:c r="L438" s="70" t="b">
        <x:v>0</x:v>
      </x:c>
      <x:c r="M438" s="70" t="b">
        <x:v>1</x:v>
      </x:c>
      <x:c r="N438" s="69" t="n">
        <x:v>10</x:v>
      </x:c>
      <x:c r="O438" s="69" t="n">
        <x:v>0</x:v>
      </x:c>
      <x:c r="P438" s="69" t="str">
        <x:v>tests/unit/test_trace_net_route_dispatch_contract_loader_v1.py; tiff/trace_net_answer_context_pack_v1.py; tiff/trace_net_callout_visual_part_verifier_v1.py; tiff/trace_net_context_retrieval_helper_v1.py; tiff/trace_net_page_context_v2.py; tiff/trace_net_route_contract_integration_audit_v1.py; tiff/trace_net_table_line_geometry_route_contract_audit_v1.py; tiff/trace_net_table_line_geometry_v1.py; tiff/trace_net_table_paddle_style_bbox_resolver_v1.py; tiff/trace_net_visual_ink_layout_calibrator_v1.py</x:v>
      </x:c>
      <x:c r="Q438" s="71" t="n">
        <x:v>0.95</x:v>
      </x:c>
      <x:c r="R438" s="69" t="str">
        <x:v>router/route naming</x:v>
      </x:c>
      <x:c r="S438" s="69" t="str">
        <x:v>Loader/writeback logic is imported by active scripts or tests.</x:v>
      </x:c>
      <x:c r="T438" s="69" t="str">
        <x:v>Preserve lineage, dry-run defaults, and source-truth mutation gates.</x:v>
      </x:c>
      <x:c r="U438" s="69" t="str"/>
      <x:c r="V438" s="69" t="str"/>
      <x:c r="W438" s="69" t="str"/>
      <x:c r="X438" s="72" t="n">
        <x:v>12087</x:v>
      </x:c>
      <x:c r="Y438" s="70" t="b">
        <x:v>1</x:v>
      </x:c>
      <x:c r="Z438" s="69" t="str">
        <x:v>Compatibility required</x:v>
      </x:c>
      <x:c r="AA438" s="69" t="str">
        <x:v>https://github.com/jwild2027/heico-ai-internship-summer-2026/blob/srv/tiff/trace_net_route_dispatch_contract_loader_v1.py</x:v>
      </x:c>
      <x:c r="AB438" s="69" t="str">
        <x:v>shared &lt;= path:contract, symbol:contract, string:contract, string:helper, string:schema; ingestion &lt;= path:tiff; visual &lt;= symbol:image_visual, symbol:visual, string:image_visual, string:visual; tables &lt;= symbol:table, string:table; router &lt;= string:routing; serving &lt;= import:sse, string:sse</x:v>
      </x:c>
    </x:row>
    <x:row r="439">
      <x:c r="A439" s="68" t="n">
        <x:v>438</x:v>
      </x:c>
      <x:c r="B439" s="69" t="str">
        <x:v>tiff/trace_net_route_dispatch_coverage_audit_v1.py</x:v>
      </x:c>
      <x:c r="C439" s="69" t="str">
        <x:v>trace_net_route_dispatch_coverage_audit_v1.py</x:v>
      </x:c>
      <x:c r="D439" s="69" t="str">
        <x:v>ingestion</x:v>
      </x:c>
      <x:c r="E439" s="69" t="str"/>
      <x:c r="F439" s="69" t="str">
        <x:v>router</x:v>
      </x:c>
      <x:c r="G439" s="69" t="str">
        <x:v>src/trace_net/router/</x:v>
      </x:c>
      <x:c r="H439" s="69" t="str">
        <x:v>src/trace_net/router/trace_net_route_dispatch_coverage_audit_v1.py</x:v>
      </x:c>
      <x:c r="I439" s="69" t="str">
        <x:v>active library module</x:v>
      </x:c>
      <x:c r="J439" s="69" t="str">
        <x:v>MOVE_WITH_IMPORT_UPDATES_AND_COMPATIBILITY_WRAPPER</x:v>
      </x:c>
      <x:c r="K439" s="70" t="b">
        <x:v>1</x:v>
      </x:c>
      <x:c r="L439" s="70" t="b">
        <x:v>0</x:v>
      </x:c>
      <x:c r="M439" s="70" t="b">
        <x:v>1</x:v>
      </x:c>
      <x:c r="N439" s="69" t="n">
        <x:v>2</x:v>
      </x:c>
      <x:c r="O439" s="69" t="n">
        <x:v>0</x:v>
      </x:c>
      <x:c r="P439" s="69" t="str">
        <x:v>scripts/build_trace_net_route_dispatch_coverage_audit_v1.py; tests/unit/test_trace_net_route_dispatch_coverage_audit_v1.py</x:v>
      </x:c>
      <x:c r="Q439" s="71" t="n">
        <x:v>0.95</x:v>
      </x:c>
      <x:c r="R439" s="69" t="str">
        <x:v>router/route naming</x:v>
      </x:c>
      <x:c r="S439" s="69" t="str">
        <x:v>Primary implementation belongs to the router stage based on filename, imports, and inventory evidence.</x:v>
      </x:c>
      <x:c r="T439" s="69" t="str">
        <x:v>Update imports and retain the old tiff module as a wrapper when callers exist.</x:v>
      </x:c>
      <x:c r="U439" s="69" t="str"/>
      <x:c r="V439" s="69" t="str">
        <x:v>TRACE_NET_ROUTE_DISPATCH_COVERAGE_AUDIT_BUILT</x:v>
      </x:c>
      <x:c r="W439" s="69" t="str"/>
      <x:c r="X439" s="72" t="n">
        <x:v>19451</x:v>
      </x:c>
      <x:c r="Y439" s="70" t="b">
        <x:v>1</x:v>
      </x:c>
      <x:c r="Z439" s="69" t="str">
        <x:v>Compatibility required</x:v>
      </x:c>
      <x:c r="AA439" s="69" t="str">
        <x:v>https://github.com/jwild2027/heico-ai-internship-summer-2026/blob/srv/tiff/trace_net_route_dispatch_coverage_audit_v1.py</x:v>
      </x:c>
      <x:c r="AB439" s="69" t="str">
        <x:v>shared &lt;= string:schema; ingestion &lt;= path:tiff, import:tiff; ocr &lt;= string:ocr; visual &lt;= string:image_visual, string:visual; tables &lt;= string:table; embeddings &lt;= string:qdrant</x:v>
      </x:c>
    </x:row>
    <x:row r="440">
      <x:c r="A440" s="68" t="n">
        <x:v>439</x:v>
      </x:c>
      <x:c r="B440" s="69" t="str">
        <x:v>tiff/trace_net_route_dispatch_coverage_audit_v1_quality.py</x:v>
      </x:c>
      <x:c r="C440" s="69" t="str">
        <x:v>trace_net_route_dispatch_coverage_audit_v1_quality.py</x:v>
      </x:c>
      <x:c r="D440" s="69" t="str">
        <x:v>ingestion</x:v>
      </x:c>
      <x:c r="E440" s="69" t="str">
        <x:v>benchmarks</x:v>
      </x:c>
      <x:c r="F440" s="69" t="str">
        <x:v>validation</x:v>
      </x:c>
      <x:c r="G440" s="69" t="str">
        <x:v>src/trace_net/validation/</x:v>
      </x:c>
      <x:c r="H440" s="69" t="str">
        <x:v>src/trace_net/validation/trace_net_route_dispatch_coverage_audit_v1_quality.py</x:v>
      </x:c>
      <x:c r="I440" s="69" t="str">
        <x:v>quality validator module</x:v>
      </x:c>
      <x:c r="J440" s="69" t="str">
        <x:v>MOVE_WITH_IMPORT_UPDATES_AND_COMPATIBILITY_WRAPPER</x:v>
      </x:c>
      <x:c r="K440" s="70" t="b">
        <x:v>1</x:v>
      </x:c>
      <x:c r="L440" s="70" t="b">
        <x:v>0</x:v>
      </x:c>
      <x:c r="M440" s="70" t="b">
        <x:v>1</x:v>
      </x:c>
      <x:c r="N440" s="69" t="n">
        <x:v>4</x:v>
      </x:c>
      <x:c r="O440" s="69" t="n">
        <x:v>0</x:v>
      </x:c>
      <x:c r="P440" s="69" t="str">
        <x:v>scripts/check_trace_net_route_dispatch_coverage_audit_v1_quality.py; tests/unit/test_trace_net_route_dispatch_coverage_audit_v1.py; tests/unit/test_trace_net_route_dispatch_coverage_audit_v1_quality.py; tiff/trace_net_route_dispatch_coverage_audit_v1.py</x:v>
      </x:c>
      <x:c r="Q440" s="71" t="n">
        <x:v>0.97</x:v>
      </x:c>
      <x:c r="R440" s="69" t="str">
        <x:v>router/route naming</x:v>
      </x:c>
      <x:c r="S440" s="69" t="str">
        <x:v>Quality logic is reusable source code for the router stage.</x:v>
      </x:c>
      <x:c r="T440" s="69" t="str">
        <x:v>Update test and script imports; retain the old tiff import as a thin wrapper until PASS.</x:v>
      </x:c>
      <x:c r="U440" s="69" t="str"/>
      <x:c r="V440" s="69" t="str"/>
      <x:c r="W440" s="69" t="str"/>
      <x:c r="X440" s="72" t="n">
        <x:v>7149</x:v>
      </x:c>
      <x:c r="Y440" s="70" t="b">
        <x:v>1</x:v>
      </x:c>
      <x:c r="Z440" s="69" t="str">
        <x:v>Compatibility required</x:v>
      </x:c>
      <x:c r="AA440" s="69" t="str">
        <x:v>https://github.com/jwild2027/heico-ai-internship-summer-2026/blob/srv/tiff/trace_net_route_dispatch_coverage_audit_v1_quality.py</x:v>
      </x:c>
      <x:c r="AB440" s="69" t="str">
        <x:v>shared &lt;= string:schema; ingestion &lt;= path:tiff; serving &lt;= import:sse; benchmarks &lt;= symbol:eval; referenced_by_count=2; imported_by_count=4</x:v>
      </x:c>
    </x:row>
    <x:row r="441">
      <x:c r="A441" s="68" t="n">
        <x:v>440</x:v>
      </x:c>
      <x:c r="B441" s="69" t="str">
        <x:v>tiff/trace_net_route_dispatch_manifest_v1.py</x:v>
      </x:c>
      <x:c r="C441" s="69" t="str">
        <x:v>trace_net_route_dispatch_manifest_v1.py</x:v>
      </x:c>
      <x:c r="D441" s="69" t="str">
        <x:v>ingestion</x:v>
      </x:c>
      <x:c r="E441" s="69" t="str">
        <x:v>tables</x:v>
      </x:c>
      <x:c r="F441" s="69" t="str">
        <x:v>router</x:v>
      </x:c>
      <x:c r="G441" s="69" t="str">
        <x:v>src/trace_net/router/</x:v>
      </x:c>
      <x:c r="H441" s="69" t="str">
        <x:v>src/trace_net/router/trace_net_route_dispatch_manifest_v1.py</x:v>
      </x:c>
      <x:c r="I441" s="69" t="str">
        <x:v>artifact builder implementation</x:v>
      </x:c>
      <x:c r="J441" s="69" t="str">
        <x:v>MOVE_WITH_IMPORT_UPDATES_AND_COMPATIBILITY_WRAPPER</x:v>
      </x:c>
      <x:c r="K441" s="70" t="b">
        <x:v>1</x:v>
      </x:c>
      <x:c r="L441" s="70" t="b">
        <x:v>0</x:v>
      </x:c>
      <x:c r="M441" s="70" t="b">
        <x:v>1</x:v>
      </x:c>
      <x:c r="N441" s="69" t="n">
        <x:v>2</x:v>
      </x:c>
      <x:c r="O441" s="69" t="n">
        <x:v>0</x:v>
      </x:c>
      <x:c r="P441" s="69" t="str">
        <x:v>scripts/build_trace_net_route_dispatch_manifest_v1.py; tests/unit/test_trace_net_route_dispatch_manifest_v1.py</x:v>
      </x:c>
      <x:c r="Q441" s="71" t="n">
        <x:v>0.96</x:v>
      </x:c>
      <x:c r="R441" s="69" t="str">
        <x:v>router/route naming</x:v>
      </x:c>
      <x:c r="S441" s="69" t="str">
        <x:v>Build implementation is imported by active wrappers/tests and belongs to the router package.</x:v>
      </x:c>
      <x:c r="T441" s="69" t="str">
        <x:v>Update wrapper imports and compare generated artifact counts/checksums.</x:v>
      </x:c>
      <x:c r="U441" s="69" t="str"/>
      <x:c r="V441" s="69" t="str">
        <x:v>TRACE_NET_ROUTE_DISPATCH_MANIFEST_BUILT</x:v>
      </x:c>
      <x:c r="W441" s="69" t="str"/>
      <x:c r="X441" s="72" t="n">
        <x:v>17867</x:v>
      </x:c>
      <x:c r="Y441" s="70" t="b">
        <x:v>1</x:v>
      </x:c>
      <x:c r="Z441" s="69" t="str">
        <x:v>Compatibility required</x:v>
      </x:c>
      <x:c r="AA441" s="69" t="str">
        <x:v>https://github.com/jwild2027/heico-ai-internship-summer-2026/blob/srv/tiff/trace_net_route_dispatch_manifest_v1.py</x:v>
      </x:c>
      <x:c r="AB441" s="69" t="str">
        <x:v>shared &lt;= string:schema; ingestion &lt;= path:tiff, import:tiff; visual &lt;= string:image_visual, string:visual; tables &lt;= symbol:table, string:table; embeddings &lt;= string:qdrant; retrieval &lt;= string:opensearch</x:v>
      </x:c>
    </x:row>
    <x:row r="442">
      <x:c r="A442" s="68" t="n">
        <x:v>441</x:v>
      </x:c>
      <x:c r="B442" s="69" t="str">
        <x:v>tiff/trace_net_route_dispatch_manifest_v1_quality.py</x:v>
      </x:c>
      <x:c r="C442" s="69" t="str">
        <x:v>trace_net_route_dispatch_manifest_v1_quality.py</x:v>
      </x:c>
      <x:c r="D442" s="69" t="str">
        <x:v>ingestion</x:v>
      </x:c>
      <x:c r="E442" s="69" t="str">
        <x:v>benchmarks</x:v>
      </x:c>
      <x:c r="F442" s="69" t="str">
        <x:v>validation</x:v>
      </x:c>
      <x:c r="G442" s="69" t="str">
        <x:v>src/trace_net/validation/</x:v>
      </x:c>
      <x:c r="H442" s="69" t="str">
        <x:v>src/trace_net/validation/trace_net_route_dispatch_manifest_v1_quality.py</x:v>
      </x:c>
      <x:c r="I442" s="69" t="str">
        <x:v>quality validator module</x:v>
      </x:c>
      <x:c r="J442" s="69" t="str">
        <x:v>MOVE_WITH_IMPORT_UPDATES_AND_COMPATIBILITY_WRAPPER</x:v>
      </x:c>
      <x:c r="K442" s="70" t="b">
        <x:v>1</x:v>
      </x:c>
      <x:c r="L442" s="70" t="b">
        <x:v>0</x:v>
      </x:c>
      <x:c r="M442" s="70" t="b">
        <x:v>1</x:v>
      </x:c>
      <x:c r="N442" s="69" t="n">
        <x:v>4</x:v>
      </x:c>
      <x:c r="O442" s="69" t="n">
        <x:v>0</x:v>
      </x:c>
      <x:c r="P442" s="69" t="str">
        <x:v>scripts/check_trace_net_route_dispatch_manifest_v1_quality.py; tests/unit/test_trace_net_route_dispatch_manifest_v1.py; tests/unit/test_trace_net_route_dispatch_manifest_v1_quality.py; tiff/trace_net_route_dispatch_manifest_v1.py</x:v>
      </x:c>
      <x:c r="Q442" s="71" t="n">
        <x:v>0.97</x:v>
      </x:c>
      <x:c r="R442" s="69" t="str">
        <x:v>router/route naming</x:v>
      </x:c>
      <x:c r="S442" s="69" t="str">
        <x:v>Quality logic is reusable source code for the router stage.</x:v>
      </x:c>
      <x:c r="T442" s="69" t="str">
        <x:v>Update test and script imports; retain the old tiff import as a thin wrapper until PASS.</x:v>
      </x:c>
      <x:c r="U442" s="69" t="str"/>
      <x:c r="V442" s="69" t="str"/>
      <x:c r="W442" s="69" t="str"/>
      <x:c r="X442" s="72" t="n">
        <x:v>7062</x:v>
      </x:c>
      <x:c r="Y442" s="70" t="b">
        <x:v>1</x:v>
      </x:c>
      <x:c r="Z442" s="69" t="str">
        <x:v>Compatibility required</x:v>
      </x:c>
      <x:c r="AA442" s="69" t="str">
        <x:v>https://github.com/jwild2027/heico-ai-internship-summer-2026/blob/srv/tiff/trace_net_route_dispatch_manifest_v1_quality.py</x:v>
      </x:c>
      <x:c r="AB442" s="69" t="str">
        <x:v>shared &lt;= string:schema; ingestion &lt;= path:tiff; visual &lt;= string:image_visual, string:visual; tables &lt;= string:table; serving &lt;= import:sse; benchmarks &lt;= symbol:eval</x:v>
      </x:c>
    </x:row>
    <x:row r="443">
      <x:c r="A443" s="68" t="n">
        <x:v>442</x:v>
      </x:c>
      <x:c r="B443" s="69" t="str">
        <x:v>tiff/trace_net_route_dispatch_processor_contract_v1.py</x:v>
      </x:c>
      <x:c r="C443" s="69" t="str">
        <x:v>trace_net_route_dispatch_processor_contract_v1.py</x:v>
      </x:c>
      <x:c r="D443" s="69" t="str">
        <x:v>shared</x:v>
      </x:c>
      <x:c r="E443" s="69" t="str"/>
      <x:c r="F443" s="69" t="str">
        <x:v>router</x:v>
      </x:c>
      <x:c r="G443" s="69" t="str">
        <x:v>src/trace_net/router/</x:v>
      </x:c>
      <x:c r="H443" s="69" t="str">
        <x:v>src/trace_net/router/trace_net_route_dispatch_processor_contract_v1.py</x:v>
      </x:c>
      <x:c r="I443" s="69" t="str">
        <x:v>artifact builder implementation</x:v>
      </x:c>
      <x:c r="J443" s="69" t="str">
        <x:v>MOVE_WITH_IMPORT_UPDATES_AND_COMPATIBILITY_WRAPPER</x:v>
      </x:c>
      <x:c r="K443" s="70" t="b">
        <x:v>1</x:v>
      </x:c>
      <x:c r="L443" s="70" t="b">
        <x:v>0</x:v>
      </x:c>
      <x:c r="M443" s="70" t="b">
        <x:v>1</x:v>
      </x:c>
      <x:c r="N443" s="69" t="n">
        <x:v>2</x:v>
      </x:c>
      <x:c r="O443" s="69" t="n">
        <x:v>0</x:v>
      </x:c>
      <x:c r="P443" s="69" t="str">
        <x:v>scripts/build_trace_net_route_dispatch_processor_contract_v1.py; tests/unit/test_trace_net_route_dispatch_processor_contract_v1.py</x:v>
      </x:c>
      <x:c r="Q443" s="71" t="n">
        <x:v>0.96</x:v>
      </x:c>
      <x:c r="R443" s="69" t="str">
        <x:v>router/route naming</x:v>
      </x:c>
      <x:c r="S443" s="69" t="str">
        <x:v>Build implementation is imported by active wrappers/tests and belongs to the router package.</x:v>
      </x:c>
      <x:c r="T443" s="69" t="str">
        <x:v>Update wrapper imports and compare generated artifact counts/checksums.</x:v>
      </x:c>
      <x:c r="U443" s="69" t="str"/>
      <x:c r="V443" s="69" t="str">
        <x:v>TRACE_NET_ROUTE_DISPATCH_PROCESSOR_CONTRACT_BUILT</x:v>
      </x:c>
      <x:c r="W443" s="69" t="str"/>
      <x:c r="X443" s="72" t="n">
        <x:v>16733</x:v>
      </x:c>
      <x:c r="Y443" s="70" t="b">
        <x:v>1</x:v>
      </x:c>
      <x:c r="Z443" s="69" t="str">
        <x:v>Compatibility required</x:v>
      </x:c>
      <x:c r="AA443" s="69" t="str">
        <x:v>https://github.com/jwild2027/heico-ai-internship-summer-2026/blob/srv/tiff/trace_net_route_dispatch_processor_contract_v1.py</x:v>
      </x:c>
      <x:c r="AB443" s="69" t="str">
        <x:v>shared &lt;= path:contract, symbol:contract, import:contract, string:contract, string:schema, environment:contract; ingestion &lt;= path:tiff; visual &lt;= string:image_visual, string:visual; tables &lt;= symbol:table, string:table; embeddings &lt;= string:qdrant; retrieval &lt;= string:opensearch</x:v>
      </x:c>
    </x:row>
    <x:row r="444">
      <x:c r="A444" s="68" t="n">
        <x:v>443</x:v>
      </x:c>
      <x:c r="B444" s="69" t="str">
        <x:v>tiff/trace_net_route_dispatch_processor_contract_v1_quality.py</x:v>
      </x:c>
      <x:c r="C444" s="69" t="str">
        <x:v>trace_net_route_dispatch_processor_contract_v1_quality.py</x:v>
      </x:c>
      <x:c r="D444" s="69" t="str">
        <x:v>shared</x:v>
      </x:c>
      <x:c r="E444" s="69" t="str"/>
      <x:c r="F444" s="69" t="str">
        <x:v>validation</x:v>
      </x:c>
      <x:c r="G444" s="69" t="str">
        <x:v>src/trace_net/validation/</x:v>
      </x:c>
      <x:c r="H444" s="69" t="str">
        <x:v>src/trace_net/validation/trace_net_route_dispatch_processor_contract_v1_quality.py</x:v>
      </x:c>
      <x:c r="I444" s="69" t="str">
        <x:v>quality validator module</x:v>
      </x:c>
      <x:c r="J444" s="69" t="str">
        <x:v>MOVE_WITH_IMPORT_UPDATES_AND_COMPATIBILITY_WRAPPER</x:v>
      </x:c>
      <x:c r="K444" s="70" t="b">
        <x:v>1</x:v>
      </x:c>
      <x:c r="L444" s="70" t="b">
        <x:v>0</x:v>
      </x:c>
      <x:c r="M444" s="70" t="b">
        <x:v>1</x:v>
      </x:c>
      <x:c r="N444" s="69" t="n">
        <x:v>4</x:v>
      </x:c>
      <x:c r="O444" s="69" t="n">
        <x:v>0</x:v>
      </x:c>
      <x:c r="P444" s="69" t="str">
        <x:v>scripts/check_trace_net_route_dispatch_processor_contract_v1_quality.py; tests/unit/test_trace_net_route_dispatch_processor_contract_v1.py; tests/unit/test_trace_net_route_dispatch_processor_contract_v1_quality.py; tiff/trace_net_route_dispatch_processor_contract_v1.py</x:v>
      </x:c>
      <x:c r="Q444" s="71" t="n">
        <x:v>0.97</x:v>
      </x:c>
      <x:c r="R444" s="69" t="str">
        <x:v>router/route naming</x:v>
      </x:c>
      <x:c r="S444" s="69" t="str">
        <x:v>Quality logic is reusable source code for the router stage.</x:v>
      </x:c>
      <x:c r="T444" s="69" t="str">
        <x:v>Update test and script imports; retain the old tiff import as a thin wrapper until PASS.</x:v>
      </x:c>
      <x:c r="U444" s="69" t="str"/>
      <x:c r="V444" s="69" t="str"/>
      <x:c r="W444" s="69" t="str"/>
      <x:c r="X444" s="72" t="n">
        <x:v>9550</x:v>
      </x:c>
      <x:c r="Y444" s="70" t="b">
        <x:v>1</x:v>
      </x:c>
      <x:c r="Z444" s="69" t="str">
        <x:v>Compatibility required</x:v>
      </x:c>
      <x:c r="AA444" s="69" t="str">
        <x:v>https://github.com/jwild2027/heico-ai-internship-summer-2026/blob/srv/tiff/trace_net_route_dispatch_processor_contract_v1_quality.py</x:v>
      </x:c>
      <x:c r="AB444" s="69" t="str">
        <x:v>shared &lt;= path:contract, symbol:contract, string:contract, string:schema; ingestion &lt;= path:tiff; visual &lt;= string:image_visual, string:visual; tables &lt;= string:table; serving &lt;= import:sse; benchmarks &lt;= symbol:eval</x:v>
      </x:c>
    </x:row>
    <x:row r="445">
      <x:c r="A445" s="68" t="n">
        <x:v>444</x:v>
      </x:c>
      <x:c r="B445" s="69" t="str">
        <x:v>tiff/trace_net_route_dispatch_warning_triage_v1.py</x:v>
      </x:c>
      <x:c r="C445" s="69" t="str">
        <x:v>trace_net_route_dispatch_warning_triage_v1.py</x:v>
      </x:c>
      <x:c r="D445" s="69" t="str">
        <x:v>ingestion</x:v>
      </x:c>
      <x:c r="E445" s="69" t="str"/>
      <x:c r="F445" s="69" t="str">
        <x:v>router</x:v>
      </x:c>
      <x:c r="G445" s="69" t="str">
        <x:v>src/trace_net/router/</x:v>
      </x:c>
      <x:c r="H445" s="69" t="str">
        <x:v>src/trace_net/router/trace_net_route_dispatch_warning_triage_v1.py</x:v>
      </x:c>
      <x:c r="I445" s="69" t="str">
        <x:v>active library module</x:v>
      </x:c>
      <x:c r="J445" s="69" t="str">
        <x:v>MOVE_WITH_IMPORT_UPDATES_AND_COMPATIBILITY_WRAPPER</x:v>
      </x:c>
      <x:c r="K445" s="70" t="b">
        <x:v>1</x:v>
      </x:c>
      <x:c r="L445" s="70" t="b">
        <x:v>0</x:v>
      </x:c>
      <x:c r="M445" s="70" t="b">
        <x:v>1</x:v>
      </x:c>
      <x:c r="N445" s="69" t="n">
        <x:v>2</x:v>
      </x:c>
      <x:c r="O445" s="69" t="n">
        <x:v>0</x:v>
      </x:c>
      <x:c r="P445" s="69" t="str">
        <x:v>scripts/build_trace_net_route_dispatch_warning_triage_v1.py; tests/unit/test_trace_net_route_dispatch_warning_triage_v1.py</x:v>
      </x:c>
      <x:c r="Q445" s="71" t="n">
        <x:v>0.95</x:v>
      </x:c>
      <x:c r="R445" s="69" t="str">
        <x:v>router/route naming</x:v>
      </x:c>
      <x:c r="S445" s="69" t="str">
        <x:v>Primary implementation belongs to the router stage based on filename, imports, and inventory evidence.</x:v>
      </x:c>
      <x:c r="T445" s="69" t="str">
        <x:v>Update imports and retain the old tiff module as a wrapper when callers exist.</x:v>
      </x:c>
      <x:c r="U445" s="69" t="str"/>
      <x:c r="V445" s="69" t="str">
        <x:v>TRACE_NET_ROUTE_DISPATCH_WARNING_TRIAGE_BUILT</x:v>
      </x:c>
      <x:c r="W445" s="69" t="str"/>
      <x:c r="X445" s="72" t="n">
        <x:v>13082</x:v>
      </x:c>
      <x:c r="Y445" s="70" t="b">
        <x:v>1</x:v>
      </x:c>
      <x:c r="Z445" s="69" t="str">
        <x:v>Compatibility required</x:v>
      </x:c>
      <x:c r="AA445" s="69" t="str">
        <x:v>https://github.com/jwild2027/heico-ai-internship-summer-2026/blob/srv/tiff/trace_net_route_dispatch_warning_triage_v1.py</x:v>
      </x:c>
      <x:c r="AB445" s="69" t="str">
        <x:v>shared &lt;= string:schema; ingestion &lt;= path:tiff, import:tiff; ocr &lt;= string:ocr; visual &lt;= string:image_visual, string:visual; tables &lt;= string:table; embeddings &lt;= string:qdrant</x:v>
      </x:c>
    </x:row>
    <x:row r="446">
      <x:c r="A446" s="68" t="n">
        <x:v>445</x:v>
      </x:c>
      <x:c r="B446" s="69" t="str">
        <x:v>tiff/trace_net_route_dispatch_warning_triage_v1_quality.py</x:v>
      </x:c>
      <x:c r="C446" s="69" t="str">
        <x:v>trace_net_route_dispatch_warning_triage_v1_quality.py</x:v>
      </x:c>
      <x:c r="D446" s="69" t="str">
        <x:v>ingestion</x:v>
      </x:c>
      <x:c r="E446" s="69" t="str">
        <x:v>benchmarks</x:v>
      </x:c>
      <x:c r="F446" s="69" t="str">
        <x:v>validation</x:v>
      </x:c>
      <x:c r="G446" s="69" t="str">
        <x:v>src/trace_net/validation/</x:v>
      </x:c>
      <x:c r="H446" s="69" t="str">
        <x:v>src/trace_net/validation/trace_net_route_dispatch_warning_triage_v1_quality.py</x:v>
      </x:c>
      <x:c r="I446" s="69" t="str">
        <x:v>quality validator module</x:v>
      </x:c>
      <x:c r="J446" s="69" t="str">
        <x:v>MOVE_WITH_IMPORT_UPDATES_AND_COMPATIBILITY_WRAPPER</x:v>
      </x:c>
      <x:c r="K446" s="70" t="b">
        <x:v>1</x:v>
      </x:c>
      <x:c r="L446" s="70" t="b">
        <x:v>0</x:v>
      </x:c>
      <x:c r="M446" s="70" t="b">
        <x:v>1</x:v>
      </x:c>
      <x:c r="N446" s="69" t="n">
        <x:v>4</x:v>
      </x:c>
      <x:c r="O446" s="69" t="n">
        <x:v>0</x:v>
      </x:c>
      <x:c r="P446" s="69" t="str">
        <x:v>scripts/check_trace_net_route_dispatch_warning_triage_v1_quality.py; tests/unit/test_trace_net_route_dispatch_warning_triage_v1.py; tests/unit/test_trace_net_route_dispatch_warning_triage_v1_quality.py; tiff/trace_net_route_dispatch_warning_triage_v1.py</x:v>
      </x:c>
      <x:c r="Q446" s="71" t="n">
        <x:v>0.97</x:v>
      </x:c>
      <x:c r="R446" s="69" t="str">
        <x:v>router/route naming</x:v>
      </x:c>
      <x:c r="S446" s="69" t="str">
        <x:v>Quality logic is reusable source code for the router stage.</x:v>
      </x:c>
      <x:c r="T446" s="69" t="str">
        <x:v>Update test and script imports; retain the old tiff import as a thin wrapper until PASS.</x:v>
      </x:c>
      <x:c r="U446" s="69" t="str"/>
      <x:c r="V446" s="69" t="str"/>
      <x:c r="W446" s="69" t="str"/>
      <x:c r="X446" s="72" t="n">
        <x:v>6262</x:v>
      </x:c>
      <x:c r="Y446" s="70" t="b">
        <x:v>1</x:v>
      </x:c>
      <x:c r="Z446" s="69" t="str">
        <x:v>Compatibility required</x:v>
      </x:c>
      <x:c r="AA446" s="69" t="str">
        <x:v>https://github.com/jwild2027/heico-ai-internship-summer-2026/blob/srv/tiff/trace_net_route_dispatch_warning_triage_v1_quality.py</x:v>
      </x:c>
      <x:c r="AB446" s="69" t="str">
        <x:v>shared &lt;= string:schema; ingestion &lt;= path:tiff; ocr &lt;= string:ocr; retrieval &lt;= string:retriev; serving &lt;= import:sse; benchmarks &lt;= symbol:eval, string:eval</x:v>
      </x:c>
    </x:row>
    <x:row r="447">
      <x:c r="A447" s="68" t="n">
        <x:v>446</x:v>
      </x:c>
      <x:c r="B447" s="69" t="str">
        <x:v>tiff/trace_net_route_enforcement_mission_gate_v1.py</x:v>
      </x:c>
      <x:c r="C447" s="69" t="str">
        <x:v>trace_net_route_enforcement_mission_gate_v1.py</x:v>
      </x:c>
      <x:c r="D447" s="69" t="str">
        <x:v>ingestion</x:v>
      </x:c>
      <x:c r="E447" s="69" t="str">
        <x:v>serving</x:v>
      </x:c>
      <x:c r="F447" s="69" t="str">
        <x:v>router</x:v>
      </x:c>
      <x:c r="G447" s="69" t="str">
        <x:v>src/trace_net/router/quality/</x:v>
      </x:c>
      <x:c r="H447" s="69" t="str">
        <x:v>src/trace_net/router/quality/trace_net_route_enforcement_mission_gate_v1.py</x:v>
      </x:c>
      <x:c r="I447" s="69" t="str">
        <x:v>runtime validation/gating module</x:v>
      </x:c>
      <x:c r="J447" s="69" t="str">
        <x:v>MOVE_WITH_IMPORT_UPDATES_AND_COMPATIBILITY_WRAPPER</x:v>
      </x:c>
      <x:c r="K447" s="70" t="b">
        <x:v>1</x:v>
      </x:c>
      <x:c r="L447" s="70" t="b">
        <x:v>0</x:v>
      </x:c>
      <x:c r="M447" s="70" t="b">
        <x:v>1</x:v>
      </x:c>
      <x:c r="N447" s="69" t="n">
        <x:v>4</x:v>
      </x:c>
      <x:c r="O447" s="69" t="n">
        <x:v>0</x:v>
      </x:c>
      <x:c r="P447" s="69" t="str">
        <x:v>scripts/build_trace_net_route_enforcement_mission_gate_v1.py; scripts/check_trace_net_route_enforcement_mission_gate_v1_quality.py; tests/unit/test_trace_net_route_enforcement_mission_gate_v1.py; tests/unit/test_trace_net_route_enforcement_mission_gate_v1_quality.py</x:v>
      </x:c>
      <x:c r="Q447" s="71" t="n">
        <x:v>0.96</x:v>
      </x:c>
      <x:c r="R447" s="69" t="str">
        <x:v>router/route naming</x:v>
      </x:c>
      <x:c r="S447" s="69" t="str">
        <x:v>Implements a runtime gate, critic, hardener, or evidence sufficiency check.</x:v>
      </x:c>
      <x:c r="T447" s="69" t="str">
        <x:v>Preserve gating semantics and old import path until focused tests pass.</x:v>
      </x:c>
      <x:c r="U447" s="69" t="str"/>
      <x:c r="V447" s="69" t="str">
        <x:v>TRACE_NET_ROUTE_ENFORCEMENT_NOT_READY, TRACE_NET_ROUTE_ENFORCEMENT_READY</x:v>
      </x:c>
      <x:c r="W447" s="69" t="str"/>
      <x:c r="X447" s="72" t="n">
        <x:v>16968</x:v>
      </x:c>
      <x:c r="Y447" s="70" t="b">
        <x:v>1</x:v>
      </x:c>
      <x:c r="Z447" s="69" t="str">
        <x:v>Compatibility required</x:v>
      </x:c>
      <x:c r="AA447" s="69" t="str">
        <x:v>https://github.com/jwild2027/heico-ai-internship-summer-2026/blob/srv/tiff/trace_net_route_enforcement_mission_gate_v1.py</x:v>
      </x:c>
      <x:c r="AB447" s="69" t="str">
        <x:v>shared &lt;= string:contract, string:schema; ingestion &lt;= path:tiff; embeddings &lt;= string:qdrant; retrieval &lt;= string:opensearch; router &lt;= string:routing; serving &lt;= import:sse, string:sse</x:v>
      </x:c>
    </x:row>
    <x:row r="448">
      <x:c r="A448" s="68" t="n">
        <x:v>447</x:v>
      </x:c>
      <x:c r="B448" s="69" t="str">
        <x:v>tiff/trace_net_route_label_taxonomy_v1.py</x:v>
      </x:c>
      <x:c r="C448" s="69" t="str">
        <x:v>trace_net_route_label_taxonomy_v1.py</x:v>
      </x:c>
      <x:c r="D448" s="69" t="str">
        <x:v>ingestion</x:v>
      </x:c>
      <x:c r="E448" s="69" t="str">
        <x:v>visual, tables, serving</x:v>
      </x:c>
      <x:c r="F448" s="69" t="str">
        <x:v>router</x:v>
      </x:c>
      <x:c r="G448" s="69" t="str">
        <x:v>src/trace_net/router/</x:v>
      </x:c>
      <x:c r="H448" s="69" t="str">
        <x:v>src/trace_net/router/trace_net_route_label_taxonomy_v1.py</x:v>
      </x:c>
      <x:c r="I448" s="69" t="str">
        <x:v>artifact builder implementation</x:v>
      </x:c>
      <x:c r="J448" s="69" t="str">
        <x:v>MOVE_WITH_IMPORT_UPDATES_AND_COMPATIBILITY_WRAPPER</x:v>
      </x:c>
      <x:c r="K448" s="70" t="b">
        <x:v>1</x:v>
      </x:c>
      <x:c r="L448" s="70" t="b">
        <x:v>0</x:v>
      </x:c>
      <x:c r="M448" s="70" t="b">
        <x:v>1</x:v>
      </x:c>
      <x:c r="N448" s="69" t="n">
        <x:v>3</x:v>
      </x:c>
      <x:c r="O448" s="69" t="n">
        <x:v>0</x:v>
      </x:c>
      <x:c r="P448" s="69" t="str">
        <x:v>scripts/build_trace_net_route_label_taxonomy_v1.py; tests/unit/test_trace_net_route_label_taxonomy_v1.py; tests/unit/test_trace_net_route_label_taxonomy_v1_quality.py</x:v>
      </x:c>
      <x:c r="Q448" s="71" t="n">
        <x:v>0.96</x:v>
      </x:c>
      <x:c r="R448" s="69" t="str">
        <x:v>router/route naming</x:v>
      </x:c>
      <x:c r="S448" s="69" t="str">
        <x:v>Build implementation is imported by active wrappers/tests and belongs to the router package.</x:v>
      </x:c>
      <x:c r="T448" s="69" t="str">
        <x:v>Update wrapper imports and compare generated artifact counts/checksums.</x:v>
      </x:c>
      <x:c r="U448" s="69" t="str"/>
      <x:c r="V448" s="69" t="str">
        <x:v>TRACE_NET_ROUTE_LABEL_TAXONOMY_BUILT</x:v>
      </x:c>
      <x:c r="W448" s="69" t="str"/>
      <x:c r="X448" s="72" t="n">
        <x:v>16620</x:v>
      </x:c>
      <x:c r="Y448" s="70" t="b">
        <x:v>1</x:v>
      </x:c>
      <x:c r="Z448" s="69" t="str">
        <x:v>Compatibility required</x:v>
      </x:c>
      <x:c r="AA448" s="69" t="str">
        <x:v>https://github.com/jwild2027/heico-ai-internship-summer-2026/blob/srv/tiff/trace_net_route_label_taxonomy_v1.py</x:v>
      </x:c>
      <x:c r="AB448" s="69" t="str">
        <x:v>shared &lt;= string:contract, string:identifier; ingestion &lt;= path:tiff; ocr &lt;= string:ocr; visual &lt;= string:callout, string:diagram, string:image_visual, string:vision; tables &lt;= string:column, string:detailed_parts_list, string:ipl, string:parts_list; graph &lt;= string:graph</x:v>
      </x:c>
    </x:row>
    <x:row r="449">
      <x:c r="A449" s="68" t="n">
        <x:v>448</x:v>
      </x:c>
      <x:c r="B449" s="69" t="str">
        <x:v>tiff/trace_net_route_unresolved_retry_probe_v1.py</x:v>
      </x:c>
      <x:c r="C449" s="69" t="str">
        <x:v>trace_net_route_unresolved_retry_probe_v1.py</x:v>
      </x:c>
      <x:c r="D449" s="69" t="str">
        <x:v>ingestion</x:v>
      </x:c>
      <x:c r="E449" s="69" t="str">
        <x:v>tables, benchmarks</x:v>
      </x:c>
      <x:c r="F449" s="69" t="str">
        <x:v>router</x:v>
      </x:c>
      <x:c r="G449" s="69" t="str">
        <x:v>src/trace_net/router/</x:v>
      </x:c>
      <x:c r="H449" s="69" t="str">
        <x:v>src/trace_net/router/trace_net_route_unresolved_retry_probe_v1.py</x:v>
      </x:c>
      <x:c r="I449" s="69" t="str">
        <x:v>active library module</x:v>
      </x:c>
      <x:c r="J449" s="69" t="str">
        <x:v>MOVE_WITH_IMPORT_UPDATES_AND_COMPATIBILITY_WRAPPER</x:v>
      </x:c>
      <x:c r="K449" s="70" t="b">
        <x:v>1</x:v>
      </x:c>
      <x:c r="L449" s="70" t="b">
        <x:v>0</x:v>
      </x:c>
      <x:c r="M449" s="70" t="b">
        <x:v>1</x:v>
      </x:c>
      <x:c r="N449" s="69" t="n">
        <x:v>4</x:v>
      </x:c>
      <x:c r="O449" s="69" t="n">
        <x:v>0</x:v>
      </x:c>
      <x:c r="P449" s="69" t="str">
        <x:v>scripts/build_trace_net_route_unresolved_retry_probe_v1.py; scripts/check_trace_net_route_unresolved_retry_probe_v1_quality.py; tests/unit/test_trace_net_route_unresolved_retry_probe_v1.py; tests/unit/test_trace_net_route_unresolved_retry_probe_v1_quality.py</x:v>
      </x:c>
      <x:c r="Q449" s="71" t="n">
        <x:v>0.95</x:v>
      </x:c>
      <x:c r="R449" s="69" t="str">
        <x:v>router/route naming</x:v>
      </x:c>
      <x:c r="S449" s="69" t="str">
        <x:v>Primary implementation belongs to the router stage based on filename, imports, and inventory evidence.</x:v>
      </x:c>
      <x:c r="T449" s="69" t="str">
        <x:v>Update imports and retain the old tiff module as a wrapper when callers exist.</x:v>
      </x:c>
      <x:c r="U449" s="69" t="str"/>
      <x:c r="V449" s="69" t="str">
        <x:v>TRACE_NET_ROUTE_UNRESOLVED_RETRY_PROBE_BUILT</x:v>
      </x:c>
      <x:c r="W449" s="69" t="str"/>
      <x:c r="X449" s="72" t="n">
        <x:v>25702</x:v>
      </x:c>
      <x:c r="Y449" s="70" t="b">
        <x:v>1</x:v>
      </x:c>
      <x:c r="Z449" s="69" t="str">
        <x:v>Compatibility required</x:v>
      </x:c>
      <x:c r="AA449" s="69" t="str">
        <x:v>https://github.com/jwild2027/heico-ai-internship-summer-2026/blob/srv/tiff/trace_net_route_unresolved_retry_probe_v1.py</x:v>
      </x:c>
      <x:c r="AB449" s="69" t="str">
        <x:v>shared &lt;= string:contract; ingestion &lt;= path:tiff; ocr &lt;= string:ocr; visual &lt;= string:callout; tables &lt;= symbol:table, string:ipl, string:table; embeddings &lt;= string:embedding, string:qdrant</x:v>
      </x:c>
    </x:row>
    <x:row r="450">
      <x:c r="A450" s="68" t="n">
        <x:v>449</x:v>
      </x:c>
      <x:c r="B450" s="69" t="str">
        <x:v>tiff/trace_net_route_validator_runner_v1.py</x:v>
      </x:c>
      <x:c r="C450" s="69" t="str">
        <x:v>trace_net_route_validator_runner_v1.py</x:v>
      </x:c>
      <x:c r="D450" s="69" t="str">
        <x:v>validation</x:v>
      </x:c>
      <x:c r="E450" s="69" t="str"/>
      <x:c r="F450" s="69" t="str">
        <x:v>router</x:v>
      </x:c>
      <x:c r="G450" s="69" t="str">
        <x:v>src/trace_net/router/</x:v>
      </x:c>
      <x:c r="H450" s="69" t="str">
        <x:v>src/trace_net/router/trace_net_route_validator_runner_v1.py</x:v>
      </x:c>
      <x:c r="I450" s="69" t="str">
        <x:v>active library module</x:v>
      </x:c>
      <x:c r="J450" s="69" t="str">
        <x:v>MOVE_WITH_IMPORT_UPDATES_AND_COMPATIBILITY_WRAPPER</x:v>
      </x:c>
      <x:c r="K450" s="70" t="b">
        <x:v>1</x:v>
      </x:c>
      <x:c r="L450" s="70" t="b">
        <x:v>0</x:v>
      </x:c>
      <x:c r="M450" s="70" t="b">
        <x:v>1</x:v>
      </x:c>
      <x:c r="N450" s="69" t="n">
        <x:v>4</x:v>
      </x:c>
      <x:c r="O450" s="69" t="n">
        <x:v>0</x:v>
      </x:c>
      <x:c r="P450" s="69" t="str">
        <x:v>scripts/build_trace_net_route_validator_runner_v1.py; scripts/check_trace_net_route_validator_runner_v1_quality.py; tests/unit/test_trace_net_route_validator_runner_v1.py; tests/unit/test_trace_net_route_validator_runner_v1_quality.py</x:v>
      </x:c>
      <x:c r="Q450" s="71" t="n">
        <x:v>0.95</x:v>
      </x:c>
      <x:c r="R450" s="69" t="str">
        <x:v>router/route naming</x:v>
      </x:c>
      <x:c r="S450" s="69" t="str">
        <x:v>Primary implementation belongs to the router stage based on filename, imports, and inventory evidence.</x:v>
      </x:c>
      <x:c r="T450" s="69" t="str">
        <x:v>Update imports and retain the old tiff module as a wrapper when callers exist.</x:v>
      </x:c>
      <x:c r="U450" s="69" t="str"/>
      <x:c r="V450" s="69" t="str">
        <x:v>TRACE_NET_ROUTE_VALIDATOR_RUNNER_BUILT</x:v>
      </x:c>
      <x:c r="W450" s="69" t="str"/>
      <x:c r="X450" s="72" t="n">
        <x:v>28377</x:v>
      </x:c>
      <x:c r="Y450" s="70" t="b">
        <x:v>1</x:v>
      </x:c>
      <x:c r="Z450" s="69" t="str">
        <x:v>Compatibility required</x:v>
      </x:c>
      <x:c r="AA450" s="69" t="str">
        <x:v>https://github.com/jwild2027/heico-ai-internship-summer-2026/blob/srv/tiff/trace_net_route_validator_runner_v1.py</x:v>
      </x:c>
      <x:c r="AB450" s="69" t="str">
        <x:v>shared &lt;= string:contract; ingestion &lt;= path:tiff; ocr &lt;= string:ocr; visual &lt;= string:image_visual, string:visual; tables &lt;= symbol:table, string:table; embeddings &lt;= string:embedding, string:qdrant</x:v>
      </x:c>
    </x:row>
    <x:row r="451">
      <x:c r="A451" s="68" t="n">
        <x:v>450</x:v>
      </x:c>
      <x:c r="B451" s="69" t="str">
        <x:v>tiff/trace_net_runtime_hybrid_v3_v22.py</x:v>
      </x:c>
      <x:c r="C451" s="69" t="str">
        <x:v>trace_net_runtime_hybrid_v3_v22.py</x:v>
      </x:c>
      <x:c r="D451" s="69" t="str">
        <x:v>operations</x:v>
      </x:c>
      <x:c r="E451" s="69" t="str">
        <x:v>serving</x:v>
      </x:c>
      <x:c r="F451" s="69" t="str">
        <x:v>core</x:v>
      </x:c>
      <x:c r="G451" s="69" t="str">
        <x:v>src/trace_net/core/</x:v>
      </x:c>
      <x:c r="H451" s="69" t="str">
        <x:v>src/trace_net/core/trace_net_runtime_hybrid_v3_v22.py</x:v>
      </x:c>
      <x:c r="I451" s="69" t="str">
        <x:v>runtime orchestration module</x:v>
      </x:c>
      <x:c r="J451" s="69" t="str">
        <x:v>MOVE_WITH_PROTECTED_COMPATIBILITY_WRAPPER</x:v>
      </x:c>
      <x:c r="K451" s="70" t="b">
        <x:v>1</x:v>
      </x:c>
      <x:c r="L451" s="70" t="b">
        <x:v>1</x:v>
      </x:c>
      <x:c r="M451" s="70" t="b">
        <x:v>1</x:v>
      </x:c>
      <x:c r="N451" s="69" t="n">
        <x:v>6</x:v>
      </x:c>
      <x:c r="O451" s="69" t="n">
        <x:v>0</x:v>
      </x:c>
      <x:c r="P451" s="69" t="str">
        <x:v>scripts/build_trace_net_runtime_hybrid_v3_v22.py; scripts/check_trace_net_runtime_hybrid_v3_v22_quality.py; scripts/run_trace_net_runtime_hybrid_v3_v22.py; tests/unit/test_trace_net_runtime_hybrid_v3_v22.py; tests/unit/test_trace_net_runtime_hybrid_v3_v22_quality.py; tiff/trace_net_runtime_hybrid_v3_v22_quality.py</x:v>
      </x:c>
      <x:c r="Q451" s="71" t="n">
        <x:v>0.96</x:v>
      </x:c>
      <x:c r="R451" s="69" t="str">
        <x:v>inventory stage: operations</x:v>
      </x:c>
      <x:c r="S451" s="69" t="str">
        <x:v>Runtime/orchestrator implementation is imported or protected.</x:v>
      </x:c>
      <x:c r="T451" s="69" t="str">
        <x:v>Preserve CLI, environment variables, and runtime chain during move.</x:v>
      </x:c>
      <x:c r="U451" s="69" t="str">
        <x:v>8016</x:v>
      </x:c>
      <x:c r="V451" s="69" t="str"/>
      <x:c r="W451" s="69" t="str"/>
      <x:c r="X451" s="72" t="n">
        <x:v>22507</x:v>
      </x:c>
      <x:c r="Y451" s="70" t="b">
        <x:v>1</x:v>
      </x:c>
      <x:c r="Z451" s="69" t="str">
        <x:v>Protected runtime</x:v>
      </x:c>
      <x:c r="AA451" s="69" t="str">
        <x:v>https://github.com/jwild2027/heico-ai-internship-summer-2026/blob/srv/tiff/trace_net_runtime_hybrid_v3_v22.py</x:v>
      </x:c>
      <x:c r="AB451" s="69" t="str">
        <x:v>shared &lt;= symbol:common, string:contract, string:schema; ingestion &lt;= path:tiff; graph &lt;= string:community; embeddings &lt;= string:qdrant; retrieval &lt;= string:opensearch, string:retriev; llm_writing &lt;= string:final_answer</x:v>
      </x:c>
    </x:row>
    <x:row r="452">
      <x:c r="A452" s="68" t="n">
        <x:v>451</x:v>
      </x:c>
      <x:c r="B452" s="69" t="str">
        <x:v>tiff/trace_net_runtime_hybrid_v3_v22_quality.py</x:v>
      </x:c>
      <x:c r="C452" s="69" t="str">
        <x:v>trace_net_runtime_hybrid_v3_v22_quality.py</x:v>
      </x:c>
      <x:c r="D452" s="69" t="str">
        <x:v>operations</x:v>
      </x:c>
      <x:c r="E452" s="69" t="str">
        <x:v>ingestion</x:v>
      </x:c>
      <x:c r="F452" s="69" t="str">
        <x:v>validation</x:v>
      </x:c>
      <x:c r="G452" s="69" t="str">
        <x:v>src/trace_net/validation/</x:v>
      </x:c>
      <x:c r="H452" s="69" t="str">
        <x:v>src/trace_net/validation/trace_net_runtime_hybrid_v3_v22_quality.py</x:v>
      </x:c>
      <x:c r="I452" s="69" t="str">
        <x:v>quality validator module</x:v>
      </x:c>
      <x:c r="J452" s="69" t="str">
        <x:v>MOVE_TO_SOURCE_PACKAGE</x:v>
      </x:c>
      <x:c r="K452" s="70" t="b">
        <x:v>1</x:v>
      </x:c>
      <x:c r="L452" s="70" t="b">
        <x:v>0</x:v>
      </x:c>
      <x:c r="M452" s="70" t="b">
        <x:v>0</x:v>
      </x:c>
      <x:c r="N452" s="69" t="n">
        <x:v>0</x:v>
      </x:c>
      <x:c r="O452" s="69" t="n">
        <x:v>0</x:v>
      </x:c>
      <x:c r="P452" s="69" t="str"/>
      <x:c r="Q452" s="71" t="n">
        <x:v>0.97</x:v>
      </x:c>
      <x:c r="R452" s="69" t="str">
        <x:v>validation/quality naming</x:v>
      </x:c>
      <x:c r="S452" s="69" t="str">
        <x:v>Quality logic is reusable source code for the validation stage.</x:v>
      </x:c>
      <x:c r="T452" s="69" t="str">
        <x:v>Update test and script imports; retain the old tiff import as a thin wrapper until PASS.</x:v>
      </x:c>
      <x:c r="U452" s="69" t="str"/>
      <x:c r="V452" s="69" t="str"/>
      <x:c r="W452" s="69" t="str"/>
      <x:c r="X452" s="72" t="n">
        <x:v>228</x:v>
      </x:c>
      <x:c r="Y452" s="70" t="b">
        <x:v>1</x:v>
      </x:c>
      <x:c r="Z452" s="69" t="str">
        <x:v>Straight move</x:v>
      </x:c>
      <x:c r="AA452" s="69" t="str">
        <x:v>https://github.com/jwild2027/heico-ai-internship-summer-2026/blob/srv/tiff/trace_net_runtime_hybrid_v3_v22_quality.py</x:v>
      </x:c>
      <x:c r="AB452" s="69" t="str">
        <x:v>shared &lt;= string:helper; ingestion &lt;= path:tiff; benchmarks &lt;= string:eval; operations &lt;= path:runtime, import:runtime, string:runtime; referenced_by_count=1</x:v>
      </x:c>
    </x:row>
    <x:row r="453">
      <x:c r="A453" s="68" t="n">
        <x:v>452</x:v>
      </x:c>
      <x:c r="B453" s="69" t="str">
        <x:v>tiff/trace_net_scan_quality_assessment_v1.py</x:v>
      </x:c>
      <x:c r="C453" s="69" t="str">
        <x:v>trace_net_scan_quality_assessment_v1.py</x:v>
      </x:c>
      <x:c r="D453" s="69" t="str">
        <x:v>serving</x:v>
      </x:c>
      <x:c r="E453" s="69" t="str">
        <x:v>ingestion, shared</x:v>
      </x:c>
      <x:c r="F453" s="69" t="str">
        <x:v>ingestion</x:v>
      </x:c>
      <x:c r="G453" s="69" t="str">
        <x:v>src/trace_net/ingestion/quality/</x:v>
      </x:c>
      <x:c r="H453" s="69" t="str">
        <x:v>src/trace_net/ingestion/quality/trace_net_scan_quality_assessment_v1.py</x:v>
      </x:c>
      <x:c r="I453" s="69" t="str">
        <x:v>quality validator module</x:v>
      </x:c>
      <x:c r="J453" s="69" t="str">
        <x:v>MOVE_WITH_IMPORT_UPDATES_AND_COMPATIBILITY_WRAPPER</x:v>
      </x:c>
      <x:c r="K453" s="70" t="b">
        <x:v>1</x:v>
      </x:c>
      <x:c r="L453" s="70" t="b">
        <x:v>0</x:v>
      </x:c>
      <x:c r="M453" s="70" t="b">
        <x:v>1</x:v>
      </x:c>
      <x:c r="N453" s="69" t="n">
        <x:v>4</x:v>
      </x:c>
      <x:c r="O453" s="69" t="n">
        <x:v>0</x:v>
      </x:c>
      <x:c r="P453" s="69" t="str">
        <x:v>scripts/build_trace_net_scan_quality_assessment_v1.py; scripts/check_trace_net_scan_quality_contract_v1.py; tests/unit/test_trace_net_scan_quality_assessment_v1.py; tiff/trace_net_route_confidence_resolver_v1.py</x:v>
      </x:c>
      <x:c r="Q453" s="71" t="n">
        <x:v>0.97</x:v>
      </x:c>
      <x:c r="R453" s="69" t="str">
        <x:v>ingestion/classification naming</x:v>
      </x:c>
      <x:c r="S453" s="69" t="str">
        <x:v>Quality logic is reusable source code for the ingestion stage.</x:v>
      </x:c>
      <x:c r="T453" s="69" t="str">
        <x:v>Update test and script imports; retain the old tiff import as a thin wrapper until PASS.</x:v>
      </x:c>
      <x:c r="U453" s="69" t="str"/>
      <x:c r="V453" s="69" t="str">
        <x:v>TRACE_NET_SCAN_QUALITY_ASSESSMENT_V1</x:v>
      </x:c>
      <x:c r="W453" s="69" t="str"/>
      <x:c r="X453" s="72" t="n">
        <x:v>19468</x:v>
      </x:c>
      <x:c r="Y453" s="70" t="b">
        <x:v>1</x:v>
      </x:c>
      <x:c r="Z453" s="69" t="str">
        <x:v>Compatibility required</x:v>
      </x:c>
      <x:c r="AA453" s="69" t="str">
        <x:v>https://github.com/jwild2027/heico-ai-internship-summer-2026/blob/srv/tiff/trace_net_scan_quality_assessment_v1.py</x:v>
      </x:c>
      <x:c r="AB453" s="69" t="str">
        <x:v>shared &lt;= string:contract, string:helper, string:schema; ingestion &lt;= path:tiff; ocr &lt;= string:ocr; embeddings &lt;= string:qdrant; retrieval &lt;= string:opensearch; serving &lt;= path:sse, symbol:sse, string:serve, string:sse, environment:sse</x:v>
      </x:c>
    </x:row>
    <x:row r="454">
      <x:c r="A454" s="68" t="n">
        <x:v>453</x:v>
      </x:c>
      <x:c r="B454" s="69" t="str">
        <x:v>tiff/trace_net_search_grouper.py</x:v>
      </x:c>
      <x:c r="C454" s="69" t="str">
        <x:v>trace_net_search_grouper.py</x:v>
      </x:c>
      <x:c r="D454" s="69" t="str">
        <x:v>ingestion</x:v>
      </x:c>
      <x:c r="E454" s="69" t="str">
        <x:v>tables, graph, serving</x:v>
      </x:c>
      <x:c r="F454" s="69" t="str">
        <x:v>retrieval</x:v>
      </x:c>
      <x:c r="G454" s="69" t="str">
        <x:v>src/trace_net/retrieval/</x:v>
      </x:c>
      <x:c r="H454" s="69" t="str">
        <x:v>src/trace_net/retrieval/trace_net_search_grouper.py</x:v>
      </x:c>
      <x:c r="I454" s="69" t="str">
        <x:v>active library module</x:v>
      </x:c>
      <x:c r="J454" s="69" t="str">
        <x:v>MOVE_WITH_IMPORT_UPDATES_AND_COMPATIBILITY_WRAPPER</x:v>
      </x:c>
      <x:c r="K454" s="70" t="b">
        <x:v>1</x:v>
      </x:c>
      <x:c r="L454" s="70" t="b">
        <x:v>0</x:v>
      </x:c>
      <x:c r="M454" s="70" t="b">
        <x:v>1</x:v>
      </x:c>
      <x:c r="N454" s="69" t="n">
        <x:v>4</x:v>
      </x:c>
      <x:c r="O454" s="69" t="n">
        <x:v>0</x:v>
      </x:c>
      <x:c r="P454" s="69" t="str">
        <x:v>scripts/group_trace_net_search_results.py; tests/unit/test_tiff_trace_net_search_grouper.py; tests/unit/test_tiff_trace_net_search_grouper_quality.py; tiff/trace_net_search_grouper_quality.py</x:v>
      </x:c>
      <x:c r="Q454" s="71" t="n">
        <x:v>0.95</x:v>
      </x:c>
      <x:c r="R454" s="69" t="str">
        <x:v>retrieval/search naming</x:v>
      </x:c>
      <x:c r="S454" s="69" t="str">
        <x:v>Primary implementation belongs to the retrieval stage based on filename, imports, and inventory evidence.</x:v>
      </x:c>
      <x:c r="T454" s="69" t="str">
        <x:v>Update imports and retain the old tiff module as a wrapper when callers exist.</x:v>
      </x:c>
      <x:c r="U454" s="69" t="str"/>
      <x:c r="V454" s="69" t="str"/>
      <x:c r="W454" s="69" t="str"/>
      <x:c r="X454" s="72" t="n">
        <x:v>30369</x:v>
      </x:c>
      <x:c r="Y454" s="70" t="b">
        <x:v>1</x:v>
      </x:c>
      <x:c r="Z454" s="69" t="str">
        <x:v>Compatibility required</x:v>
      </x:c>
      <x:c r="AA454" s="69" t="str">
        <x:v>https://github.com/jwild2027/heico-ai-internship-summer-2026/blob/srv/tiff/trace_net_search_grouper.py</x:v>
      </x:c>
      <x:c r="AB454" s="69" t="str">
        <x:v>shared &lt;= string:trust_tier; ingestion &lt;= path:tiff, string:tiff; ocr &lt;= string:ocr; tables &lt;= symbol:table, string:ipl, string:table; graph &lt;= symbol:graph, string:graph; embeddings &lt;= string:embedding</x:v>
      </x:c>
    </x:row>
    <x:row r="455">
      <x:c r="A455" s="68" t="n">
        <x:v>454</x:v>
      </x:c>
      <x:c r="B455" s="69" t="str">
        <x:v>tiff/trace_net_search_grouper_quality.py</x:v>
      </x:c>
      <x:c r="C455" s="69" t="str">
        <x:v>trace_net_search_grouper_quality.py</x:v>
      </x:c>
      <x:c r="D455" s="69" t="str">
        <x:v>ingestion</x:v>
      </x:c>
      <x:c r="E455" s="69" t="str">
        <x:v>benchmarks</x:v>
      </x:c>
      <x:c r="F455" s="69" t="str">
        <x:v>retrieval</x:v>
      </x:c>
      <x:c r="G455" s="69" t="str">
        <x:v>src/trace_net/retrieval/quality/</x:v>
      </x:c>
      <x:c r="H455" s="69" t="str">
        <x:v>src/trace_net/retrieval/quality/trace_net_search_grouper_quality.py</x:v>
      </x:c>
      <x:c r="I455" s="69" t="str">
        <x:v>quality validator module</x:v>
      </x:c>
      <x:c r="J455" s="69" t="str">
        <x:v>MOVE_WITH_IMPORT_UPDATES_AND_COMPATIBILITY_WRAPPER</x:v>
      </x:c>
      <x:c r="K455" s="70" t="b">
        <x:v>1</x:v>
      </x:c>
      <x:c r="L455" s="70" t="b">
        <x:v>0</x:v>
      </x:c>
      <x:c r="M455" s="70" t="b">
        <x:v>1</x:v>
      </x:c>
      <x:c r="N455" s="69" t="n">
        <x:v>2</x:v>
      </x:c>
      <x:c r="O455" s="69" t="n">
        <x:v>0</x:v>
      </x:c>
      <x:c r="P455" s="69" t="str">
        <x:v>scripts/check_trace_net_search_group_quality.py; tests/unit/test_tiff_trace_net_search_grouper_quality.py</x:v>
      </x:c>
      <x:c r="Q455" s="71" t="n">
        <x:v>0.97</x:v>
      </x:c>
      <x:c r="R455" s="69" t="str">
        <x:v>retrieval/search naming</x:v>
      </x:c>
      <x:c r="S455" s="69" t="str">
        <x:v>Quality logic is reusable source code for the retrieval stage.</x:v>
      </x:c>
      <x:c r="T455" s="69" t="str">
        <x:v>Update test and script imports; retain the old tiff import as a thin wrapper until PASS.</x:v>
      </x:c>
      <x:c r="U455" s="69" t="str"/>
      <x:c r="V455" s="69" t="str"/>
      <x:c r="W455" s="69" t="str"/>
      <x:c r="X455" s="72" t="n">
        <x:v>14013</x:v>
      </x:c>
      <x:c r="Y455" s="70" t="b">
        <x:v>1</x:v>
      </x:c>
      <x:c r="Z455" s="69" t="str">
        <x:v>Compatibility required</x:v>
      </x:c>
      <x:c r="AA455" s="69" t="str">
        <x:v>https://github.com/jwild2027/heico-ai-internship-summer-2026/blob/srv/tiff/trace_net_search_grouper_quality.py</x:v>
      </x:c>
      <x:c r="AB455" s="69" t="str">
        <x:v>ingestion &lt;= path:tiff, string:tiff; ocr &lt;= string:ocr; tables &lt;= string:ipl; graph &lt;= string:graph; serving &lt;= import:sse; benchmarks &lt;= symbol:eval</x:v>
      </x:c>
    </x:row>
    <x:row r="456">
      <x:c r="A456" s="68" t="n">
        <x:v>455</x:v>
      </x:c>
      <x:c r="B456" s="69" t="str">
        <x:v>tiff/trace_net_source_citation_quality.py</x:v>
      </x:c>
      <x:c r="C456" s="69" t="str">
        <x:v>trace_net_source_citation_quality.py</x:v>
      </x:c>
      <x:c r="D456" s="69" t="str">
        <x:v>ingestion</x:v>
      </x:c>
      <x:c r="E456" s="69" t="str"/>
      <x:c r="F456" s="69" t="str">
        <x:v>validation</x:v>
      </x:c>
      <x:c r="G456" s="69" t="str">
        <x:v>src/trace_net/validation/</x:v>
      </x:c>
      <x:c r="H456" s="69" t="str">
        <x:v>src/trace_net/validation/trace_net_source_citation_quality.py</x:v>
      </x:c>
      <x:c r="I456" s="69" t="str">
        <x:v>quality validator module</x:v>
      </x:c>
      <x:c r="J456" s="69" t="str">
        <x:v>MOVE_WITH_IMPORT_UPDATES_AND_COMPATIBILITY_WRAPPER</x:v>
      </x:c>
      <x:c r="K456" s="70" t="b">
        <x:v>1</x:v>
      </x:c>
      <x:c r="L456" s="70" t="b">
        <x:v>0</x:v>
      </x:c>
      <x:c r="M456" s="70" t="b">
        <x:v>1</x:v>
      </x:c>
      <x:c r="N456" s="69" t="n">
        <x:v>1</x:v>
      </x:c>
      <x:c r="O456" s="69" t="n">
        <x:v>0</x:v>
      </x:c>
      <x:c r="P456" s="69" t="str">
        <x:v>tests/unit/test_tiff_trace_net_source_citation_quality.py</x:v>
      </x:c>
      <x:c r="Q456" s="71" t="n">
        <x:v>0.97</x:v>
      </x:c>
      <x:c r="R456" s="69" t="str">
        <x:v>context/evidence naming</x:v>
      </x:c>
      <x:c r="S456" s="69" t="str">
        <x:v>Quality logic is reusable source code for the context stage.</x:v>
      </x:c>
      <x:c r="T456" s="69" t="str">
        <x:v>Update test and script imports; retain the old tiff import as a thin wrapper until PASS.</x:v>
      </x:c>
      <x:c r="U456" s="69" t="str"/>
      <x:c r="V456" s="69" t="str"/>
      <x:c r="W456" s="69" t="str"/>
      <x:c r="X456" s="72" t="n">
        <x:v>10034</x:v>
      </x:c>
      <x:c r="Y456" s="70" t="b">
        <x:v>1</x:v>
      </x:c>
      <x:c r="Z456" s="69" t="str">
        <x:v>Compatibility required</x:v>
      </x:c>
      <x:c r="AA456" s="69" t="str">
        <x:v>https://github.com/jwild2027/heico-ai-internship-summer-2026/blob/srv/tiff/trace_net_source_citation_quality.py</x:v>
      </x:c>
      <x:c r="AB456" s="69" t="str">
        <x:v>ingestion &lt;= path:tiff; serving &lt;= import:sse; benchmarks &lt;= symbol:eval; referenced_by_count=1; imported_by_count=1</x:v>
      </x:c>
    </x:row>
    <x:row r="457">
      <x:c r="A457" s="68" t="n">
        <x:v>456</x:v>
      </x:c>
      <x:c r="B457" s="69" t="str">
        <x:v>tiff/trace_net_source_citations.py</x:v>
      </x:c>
      <x:c r="C457" s="69" t="str">
        <x:v>trace_net_source_citations.py</x:v>
      </x:c>
      <x:c r="D457" s="69" t="str">
        <x:v>ingestion</x:v>
      </x:c>
      <x:c r="E457" s="69" t="str"/>
      <x:c r="F457" s="69" t="str">
        <x:v>context</x:v>
      </x:c>
      <x:c r="G457" s="69" t="str">
        <x:v>src/trace_net/context/</x:v>
      </x:c>
      <x:c r="H457" s="69" t="str">
        <x:v>src/trace_net/context/trace_net_source_citations.py</x:v>
      </x:c>
      <x:c r="I457" s="69" t="str">
        <x:v>active library module</x:v>
      </x:c>
      <x:c r="J457" s="69" t="str">
        <x:v>MOVE_WITH_IMPORT_UPDATES_AND_COMPATIBILITY_WRAPPER</x:v>
      </x:c>
      <x:c r="K457" s="70" t="b">
        <x:v>1</x:v>
      </x:c>
      <x:c r="L457" s="70" t="b">
        <x:v>0</x:v>
      </x:c>
      <x:c r="M457" s="70" t="b">
        <x:v>1</x:v>
      </x:c>
      <x:c r="N457" s="69" t="n">
        <x:v>5</x:v>
      </x:c>
      <x:c r="O457" s="69" t="n">
        <x:v>0</x:v>
      </x:c>
      <x:c r="P457" s="69" t="str">
        <x:v>scripts/build_trace_net_source_citations.py; tests/unit/test_tiff_trace_net_source_citations.py; tests/unit/test_tiff_trace_net_source_citations_quality.py; tiff/trace_net_source_citation_quality.py; tiff/trace_net_source_citations_quality.py</x:v>
      </x:c>
      <x:c r="Q457" s="71" t="n">
        <x:v>0.95</x:v>
      </x:c>
      <x:c r="R457" s="69" t="str">
        <x:v>context/evidence naming</x:v>
      </x:c>
      <x:c r="S457" s="69" t="str">
        <x:v>Primary implementation belongs to the context stage based on filename, imports, and inventory evidence.</x:v>
      </x:c>
      <x:c r="T457" s="69" t="str">
        <x:v>Update imports and retain the old tiff module as a wrapper when callers exist.</x:v>
      </x:c>
      <x:c r="U457" s="69" t="str"/>
      <x:c r="V457" s="69" t="str"/>
      <x:c r="W457" s="69" t="str"/>
      <x:c r="X457" s="72" t="n">
        <x:v>26921</x:v>
      </x:c>
      <x:c r="Y457" s="70" t="b">
        <x:v>1</x:v>
      </x:c>
      <x:c r="Z457" s="69" t="str">
        <x:v>Compatibility required</x:v>
      </x:c>
      <x:c r="AA457" s="69" t="str">
        <x:v>https://github.com/jwild2027/heico-ai-internship-summer-2026/blob/srv/tiff/trace_net_source_citations.py</x:v>
      </x:c>
      <x:c r="AB457" s="69" t="str">
        <x:v>shared &lt;= string:trust_tier; ingestion &lt;= path:tiff, symbol:tiff, string:tiff; ocr &lt;= symbol:ocr, string:ocr; tables &lt;= symbol:table, string:table; graph &lt;= symbol:graph, string:graph; embeddings &lt;= string:candidate_chunk, string:rag_candidate</x:v>
      </x:c>
    </x:row>
    <x:row r="458">
      <x:c r="A458" s="68" t="n">
        <x:v>457</x:v>
      </x:c>
      <x:c r="B458" s="69" t="str">
        <x:v>tiff/trace_net_source_citations_quality.py</x:v>
      </x:c>
      <x:c r="C458" s="69" t="str">
        <x:v>trace_net_source_citations_quality.py</x:v>
      </x:c>
      <x:c r="D458" s="69" t="str">
        <x:v>ingestion</x:v>
      </x:c>
      <x:c r="E458" s="69" t="str"/>
      <x:c r="F458" s="69" t="str">
        <x:v>validation</x:v>
      </x:c>
      <x:c r="G458" s="69" t="str">
        <x:v>src/trace_net/validation/</x:v>
      </x:c>
      <x:c r="H458" s="69" t="str">
        <x:v>src/trace_net/validation/trace_net_source_citations_quality.py</x:v>
      </x:c>
      <x:c r="I458" s="69" t="str">
        <x:v>quality validator module</x:v>
      </x:c>
      <x:c r="J458" s="69" t="str">
        <x:v>MOVE_WITH_IMPORT_UPDATES_AND_COMPATIBILITY_WRAPPER</x:v>
      </x:c>
      <x:c r="K458" s="70" t="b">
        <x:v>1</x:v>
      </x:c>
      <x:c r="L458" s="70" t="b">
        <x:v>0</x:v>
      </x:c>
      <x:c r="M458" s="70" t="b">
        <x:v>1</x:v>
      </x:c>
      <x:c r="N458" s="69" t="n">
        <x:v>2</x:v>
      </x:c>
      <x:c r="O458" s="69" t="n">
        <x:v>0</x:v>
      </x:c>
      <x:c r="P458" s="69" t="str">
        <x:v>scripts/check_trace_net_source_citation_quality.py; tests/unit/test_tiff_trace_net_source_citations_quality.py</x:v>
      </x:c>
      <x:c r="Q458" s="71" t="n">
        <x:v>0.97</x:v>
      </x:c>
      <x:c r="R458" s="69" t="str">
        <x:v>context/evidence naming</x:v>
      </x:c>
      <x:c r="S458" s="69" t="str">
        <x:v>Quality logic is reusable source code for the context stage.</x:v>
      </x:c>
      <x:c r="T458" s="69" t="str">
        <x:v>Update test and script imports; retain the old tiff import as a thin wrapper until PASS.</x:v>
      </x:c>
      <x:c r="U458" s="69" t="str"/>
      <x:c r="V458" s="69" t="str"/>
      <x:c r="W458" s="69" t="str"/>
      <x:c r="X458" s="72" t="n">
        <x:v>10342</x:v>
      </x:c>
      <x:c r="Y458" s="70" t="b">
        <x:v>1</x:v>
      </x:c>
      <x:c r="Z458" s="69" t="str">
        <x:v>Compatibility required</x:v>
      </x:c>
      <x:c r="AA458" s="69" t="str">
        <x:v>https://github.com/jwild2027/heico-ai-internship-summer-2026/blob/srv/tiff/trace_net_source_citations_quality.py</x:v>
      </x:c>
      <x:c r="AB458" s="69" t="str">
        <x:v>shared &lt;= string:trust_tier; ingestion &lt;= path:tiff, string:tiff; ocr &lt;= string:ocr; context &lt;= string:source_trace; serving &lt;= import:sse; referenced_by_count=1</x:v>
      </x:c>
    </x:row>
    <x:row r="459">
      <x:c r="A459" s="68" t="n">
        <x:v>458</x:v>
      </x:c>
      <x:c r="B459" s="69" t="str">
        <x:v>tiff/trace_net_synthetic_incident_console_v1.py</x:v>
      </x:c>
      <x:c r="C459" s="69" t="str">
        <x:v>trace_net_synthetic_incident_console_v1.py</x:v>
      </x:c>
      <x:c r="D459" s="69" t="str">
        <x:v>serving</x:v>
      </x:c>
      <x:c r="E459" s="69" t="str">
        <x:v>ingestion, benchmarks, tables</x:v>
      </x:c>
      <x:c r="F459" s="69" t="str">
        <x:v>serving</x:v>
      </x:c>
      <x:c r="G459" s="69" t="str">
        <x:v>src/trace_net/serving/</x:v>
      </x:c>
      <x:c r="H459" s="69" t="str">
        <x:v>src/trace_net/serving/trace_net_synthetic_incident_console_v1.py</x:v>
      </x:c>
      <x:c r="I459" s="69" t="str">
        <x:v>serving/runtime module</x:v>
      </x:c>
      <x:c r="J459" s="69" t="str">
        <x:v>MOVE_WITH_PROTECTED_COMPATIBILITY_WRAPPER</x:v>
      </x:c>
      <x:c r="K459" s="70" t="b">
        <x:v>1</x:v>
      </x:c>
      <x:c r="L459" s="70" t="b">
        <x:v>1</x:v>
      </x:c>
      <x:c r="M459" s="70" t="b">
        <x:v>1</x:v>
      </x:c>
      <x:c r="N459" s="69" t="n">
        <x:v>6</x:v>
      </x:c>
      <x:c r="O459" s="69" t="n">
        <x:v>0</x:v>
      </x:c>
      <x:c r="P459" s="69" t="str">
        <x:v>scripts/check_trace_net_synthetic_incident_console_v1_quality.py; scripts/init_trace_net_synthetic_incident_console_postgres_v1.py; scripts/run_trace_net_synthetic_incident_console_v1.py; tests/unit/test_trace_net_synthetic_incident_console_v1.py; tests/unit/test_trace_net_synthetic_incident_console_v1_quality.py; tiff/trace_net_synthetic_incident_postgres_smoke_v1.py</x:v>
      </x:c>
      <x:c r="Q459" s="71" t="n">
        <x:v>0.98</x:v>
      </x:c>
      <x:c r="R459" s="69" t="str">
        <x:v>serving/API naming</x:v>
      </x:c>
      <x:c r="S459" s="69" t="str">
        <x:v>API, endpoint, server, bridge, or console implementation used by runtime callers.</x:v>
      </x:c>
      <x:c r="T459" s="69" t="str">
        <x:v>Old entrypoint must remain callable; verify relevant ports and OpenWebUI behavior.</x:v>
      </x:c>
      <x:c r="U459" s="69" t="str">
        <x:v>8000, 8011</x:v>
      </x:c>
      <x:c r="V459" s="69" t="str">
        <x:v>TRACE_NET_DATABASE_URL</x:v>
      </x:c>
      <x:c r="W459" s="69" t="str"/>
      <x:c r="X459" s="72" t="n">
        <x:v>55263</x:v>
      </x:c>
      <x:c r="Y459" s="70" t="b">
        <x:v>1</x:v>
      </x:c>
      <x:c r="Z459" s="69" t="str">
        <x:v>Protected runtime</x:v>
      </x:c>
      <x:c r="AA459" s="69" t="str">
        <x:v>https://github.com/jwild2027/heico-ai-internship-summer-2026/blob/srv/tiff/trace_net_synthetic_incident_console_v1.py</x:v>
      </x:c>
      <x:c r="AB459" s="69" t="str">
        <x:v>shared &lt;= symbol:schema, string:schema; ingestion &lt;= path:tiff, string:ingest, string:source_manifest; ocr &lt;= string:fishnet, string:ocr; visual &lt;= string:callout, string:diagram, string:visual; tables &lt;= symbol:table, string:table; graph &lt;= string:community, string:graph</x:v>
      </x:c>
    </x:row>
    <x:row r="460">
      <x:c r="A460" s="68" t="n">
        <x:v>459</x:v>
      </x:c>
      <x:c r="B460" s="69" t="str">
        <x:v>tiff/trace_net_synthetic_incident_postgres_smoke_v1.py</x:v>
      </x:c>
      <x:c r="C460" s="69" t="str">
        <x:v>trace_net_synthetic_incident_postgres_smoke_v1.py</x:v>
      </x:c>
      <x:c r="D460" s="69" t="str">
        <x:v>benchmarks</x:v>
      </x:c>
      <x:c r="E460" s="69" t="str">
        <x:v>ingestion</x:v>
      </x:c>
      <x:c r="F460" s="69" t="str">
        <x:v>graph</x:v>
      </x:c>
      <x:c r="G460" s="69" t="str">
        <x:v>src/trace_net/graph/</x:v>
      </x:c>
      <x:c r="H460" s="69" t="str">
        <x:v>src/trace_net/graph/trace_net_synthetic_incident_postgres_smoke_v1.py</x:v>
      </x:c>
      <x:c r="I460" s="69" t="str">
        <x:v>active library module</x:v>
      </x:c>
      <x:c r="J460" s="69" t="str">
        <x:v>MOVE_WITH_IMPORT_UPDATES_AND_COMPATIBILITY_WRAPPER</x:v>
      </x:c>
      <x:c r="K460" s="70" t="b">
        <x:v>1</x:v>
      </x:c>
      <x:c r="L460" s="70" t="b">
        <x:v>0</x:v>
      </x:c>
      <x:c r="M460" s="70" t="b">
        <x:v>1</x:v>
      </x:c>
      <x:c r="N460" s="69" t="n">
        <x:v>3</x:v>
      </x:c>
      <x:c r="O460" s="69" t="n">
        <x:v>0</x:v>
      </x:c>
      <x:c r="P460" s="69" t="str">
        <x:v>scripts/check_trace_net_synthetic_incident_postgres_smoke_v1_quality.py; scripts/smoke_trace_net_synthetic_incident_postgres_v1.py; tests/unit/test_trace_net_synthetic_incident_postgres_smoke_v1_quality.py</x:v>
      </x:c>
      <x:c r="Q460" s="71" t="n">
        <x:v>0.95</x:v>
      </x:c>
      <x:c r="R460" s="69" t="str">
        <x:v>graph/Leiden/Postgres naming</x:v>
      </x:c>
      <x:c r="S460" s="69" t="str">
        <x:v>Primary implementation belongs to the graph stage based on filename, imports, and inventory evidence.</x:v>
      </x:c>
      <x:c r="T460" s="69" t="str">
        <x:v>Update imports and retain the old tiff module as a wrapper when callers exist.</x:v>
      </x:c>
      <x:c r="U460" s="69" t="str"/>
      <x:c r="V460" s="69" t="str">
        <x:v>TRACE_NET_DATABASE_URL</x:v>
      </x:c>
      <x:c r="W460" s="69" t="str"/>
      <x:c r="X460" s="72" t="n">
        <x:v>14810</x:v>
      </x:c>
      <x:c r="Y460" s="70" t="b">
        <x:v>1</x:v>
      </x:c>
      <x:c r="Z460" s="69" t="str">
        <x:v>Compatibility required</x:v>
      </x:c>
      <x:c r="AA460" s="69" t="str">
        <x:v>https://github.com/jwild2027/heico-ai-internship-summer-2026/blob/srv/tiff/trace_net_synthetic_incident_postgres_smoke_v1.py</x:v>
      </x:c>
      <x:c r="AB460" s="69" t="str">
        <x:v>shared &lt;= string:contract, string:schema; ingestion &lt;= path:tiff, import:tiff; tables &lt;= symbol:table, string:table; graph &lt;= string:graph; embeddings &lt;= string:qdrant; retrieval &lt;= string:opensearch</x:v>
      </x:c>
    </x:row>
    <x:row r="461">
      <x:c r="A461" s="68" t="n">
        <x:v>460</x:v>
      </x:c>
      <x:c r="B461" s="69" t="str">
        <x:v>tiff/trace_net_table_bbox_resolver_v1.py</x:v>
      </x:c>
      <x:c r="C461" s="69" t="str">
        <x:v>trace_net_table_bbox_resolver_v1.py</x:v>
      </x:c>
      <x:c r="D461" s="69" t="str">
        <x:v>tables</x:v>
      </x:c>
      <x:c r="E461" s="69" t="str">
        <x:v>ingestion</x:v>
      </x:c>
      <x:c r="F461" s="69" t="str">
        <x:v>tables</x:v>
      </x:c>
      <x:c r="G461" s="69" t="str">
        <x:v>src/trace_net/tables/</x:v>
      </x:c>
      <x:c r="H461" s="69" t="str">
        <x:v>src/trace_net/tables/trace_net_table_bbox_resolver_v1.py</x:v>
      </x:c>
      <x:c r="I461" s="69" t="str">
        <x:v>artifact builder implementation</x:v>
      </x:c>
      <x:c r="J461" s="69" t="str">
        <x:v>MOVE_WITH_IMPORT_UPDATES_AND_COMPATIBILITY_WRAPPER</x:v>
      </x:c>
      <x:c r="K461" s="70" t="b">
        <x:v>1</x:v>
      </x:c>
      <x:c r="L461" s="70" t="b">
        <x:v>0</x:v>
      </x:c>
      <x:c r="M461" s="70" t="b">
        <x:v>1</x:v>
      </x:c>
      <x:c r="N461" s="69" t="n">
        <x:v>4</x:v>
      </x:c>
      <x:c r="O461" s="69" t="n">
        <x:v>0</x:v>
      </x:c>
      <x:c r="P461" s="69" t="str">
        <x:v>scripts/build_trace_net_table_bbox_resolver_v1.py; tests/unit/test_trace_net_table_bbox_resolver_v1.py; tests/unit/test_trace_net_table_bbox_resolver_v1_quality.py; tiff/trace_net_table_bbox_resolver_v1_quality.py</x:v>
      </x:c>
      <x:c r="Q461" s="71" t="n">
        <x:v>0.96</x:v>
      </x:c>
      <x:c r="R461" s="69" t="str">
        <x:v>table pipeline naming</x:v>
      </x:c>
      <x:c r="S461" s="69" t="str">
        <x:v>Build implementation is imported by active wrappers/tests and belongs to the tables package.</x:v>
      </x:c>
      <x:c r="T461" s="69" t="str">
        <x:v>Update wrapper imports and compare generated artifact counts/checksums.</x:v>
      </x:c>
      <x:c r="U461" s="69" t="str"/>
      <x:c r="V461" s="69" t="str"/>
      <x:c r="W461" s="69" t="str"/>
      <x:c r="X461" s="72" t="n">
        <x:v>43233</x:v>
      </x:c>
      <x:c r="Y461" s="70" t="b">
        <x:v>1</x:v>
      </x:c>
      <x:c r="Z461" s="69" t="str">
        <x:v>Compatibility required</x:v>
      </x:c>
      <x:c r="AA461" s="69" t="str">
        <x:v>https://github.com/jwild2027/heico-ai-internship-summer-2026/blob/srv/tiff/trace_net_table_bbox_resolver_v1.py</x:v>
      </x:c>
      <x:c r="AB461" s="69" t="str">
        <x:v>shared &lt;= symbol:common, string:contract, string:schema; ingestion &lt;= path:tiff, string:page_image, string:tiff; ocr &lt;= symbol:ocr, string:ocr; tables &lt;= path:table, symbol:table, string:table; embeddings &lt;= string:qdrant; retrieval &lt;= string:opensearch, string:retriev</x:v>
      </x:c>
    </x:row>
    <x:row r="462">
      <x:c r="A462" s="68" t="n">
        <x:v>461</x:v>
      </x:c>
      <x:c r="B462" s="69" t="str">
        <x:v>tiff/trace_net_table_bbox_resolver_v1_quality.py</x:v>
      </x:c>
      <x:c r="C462" s="69" t="str">
        <x:v>trace_net_table_bbox_resolver_v1_quality.py</x:v>
      </x:c>
      <x:c r="D462" s="69" t="str">
        <x:v>tables</x:v>
      </x:c>
      <x:c r="E462" s="69" t="str">
        <x:v>ingestion</x:v>
      </x:c>
      <x:c r="F462" s="69" t="str">
        <x:v>tables</x:v>
      </x:c>
      <x:c r="G462" s="69" t="str">
        <x:v>src/trace_net/tables/quality/</x:v>
      </x:c>
      <x:c r="H462" s="69" t="str">
        <x:v>src/trace_net/tables/quality/trace_net_table_bbox_resolver_v1_quality.py</x:v>
      </x:c>
      <x:c r="I462" s="69" t="str">
        <x:v>quality validator module</x:v>
      </x:c>
      <x:c r="J462" s="69" t="str">
        <x:v>MOVE_WITH_IMPORT_UPDATES_AND_COMPATIBILITY_WRAPPER</x:v>
      </x:c>
      <x:c r="K462" s="70" t="b">
        <x:v>1</x:v>
      </x:c>
      <x:c r="L462" s="70" t="b">
        <x:v>0</x:v>
      </x:c>
      <x:c r="M462" s="70" t="b">
        <x:v>1</x:v>
      </x:c>
      <x:c r="N462" s="69" t="n">
        <x:v>1</x:v>
      </x:c>
      <x:c r="O462" s="69" t="n">
        <x:v>0</x:v>
      </x:c>
      <x:c r="P462" s="69" t="str">
        <x:v>scripts/check_trace_net_table_bbox_resolver_v1_quality.py</x:v>
      </x:c>
      <x:c r="Q462" s="71" t="n">
        <x:v>0.97</x:v>
      </x:c>
      <x:c r="R462" s="69" t="str">
        <x:v>table pipeline naming</x:v>
      </x:c>
      <x:c r="S462" s="69" t="str">
        <x:v>Quality logic is reusable source code for the tables stage.</x:v>
      </x:c>
      <x:c r="T462" s="69" t="str">
        <x:v>Update test and script imports; retain the old tiff import as a thin wrapper until PASS.</x:v>
      </x:c>
      <x:c r="U462" s="69" t="str"/>
      <x:c r="V462" s="69" t="str"/>
      <x:c r="W462" s="69" t="str"/>
      <x:c r="X462" s="72" t="n">
        <x:v>2472</x:v>
      </x:c>
      <x:c r="Y462" s="70" t="b">
        <x:v>1</x:v>
      </x:c>
      <x:c r="Z462" s="69" t="str">
        <x:v>Compatibility required</x:v>
      </x:c>
      <x:c r="AA462" s="69" t="str">
        <x:v>https://github.com/jwild2027/heico-ai-internship-summer-2026/blob/srv/tiff/trace_net_table_bbox_resolver_v1_quality.py</x:v>
      </x:c>
      <x:c r="AB462" s="69" t="str">
        <x:v>ingestion &lt;= path:tiff, import:tiff; ocr &lt;= string:ocr; tables &lt;= path:table, import:table, string:table; embeddings &lt;= string:qdrant; retrieval &lt;= string:opensearch; referenced_by_count=1</x:v>
      </x:c>
    </x:row>
    <x:row r="463">
      <x:c r="A463" s="68" t="n">
        <x:v>462</x:v>
      </x:c>
      <x:c r="B463" s="69" t="str">
        <x:v>tiff/trace_net_table_bbox_scoped_cell_extraction_v1.py</x:v>
      </x:c>
      <x:c r="C463" s="69" t="str">
        <x:v>trace_net_table_bbox_scoped_cell_extraction_v1.py</x:v>
      </x:c>
      <x:c r="D463" s="69" t="str">
        <x:v>tables</x:v>
      </x:c>
      <x:c r="E463" s="69" t="str">
        <x:v>ingestion</x:v>
      </x:c>
      <x:c r="F463" s="69" t="str">
        <x:v>tables</x:v>
      </x:c>
      <x:c r="G463" s="69" t="str">
        <x:v>src/trace_net/tables/</x:v>
      </x:c>
      <x:c r="H463" s="69" t="str">
        <x:v>src/trace_net/tables/trace_net_table_bbox_scoped_cell_extraction_v1.py</x:v>
      </x:c>
      <x:c r="I463" s="69" t="str">
        <x:v>active library module</x:v>
      </x:c>
      <x:c r="J463" s="69" t="str">
        <x:v>MOVE_WITH_IMPORT_UPDATES_AND_COMPATIBILITY_WRAPPER</x:v>
      </x:c>
      <x:c r="K463" s="70" t="b">
        <x:v>1</x:v>
      </x:c>
      <x:c r="L463" s="70" t="b">
        <x:v>0</x:v>
      </x:c>
      <x:c r="M463" s="70" t="b">
        <x:v>1</x:v>
      </x:c>
      <x:c r="N463" s="69" t="n">
        <x:v>4</x:v>
      </x:c>
      <x:c r="O463" s="69" t="n">
        <x:v>0</x:v>
      </x:c>
      <x:c r="P463" s="69" t="str">
        <x:v>scripts/build_trace_net_table_bbox_scoped_cell_extraction_v1.py; tests/unit/test_trace_net_table_bbox_scoped_cell_extraction_v1.py; tests/unit/test_trace_net_table_bbox_scoped_cell_extraction_v1_quality.py; tiff/trace_net_table_bbox_scoped_cell_extraction_v1_quality.py</x:v>
      </x:c>
      <x:c r="Q463" s="71" t="n">
        <x:v>0.95</x:v>
      </x:c>
      <x:c r="R463" s="69" t="str">
        <x:v>table pipeline naming</x:v>
      </x:c>
      <x:c r="S463" s="69" t="str">
        <x:v>Primary implementation belongs to the tables stage based on filename, imports, and inventory evidence.</x:v>
      </x:c>
      <x:c r="T463" s="69" t="str">
        <x:v>Update imports and retain the old tiff module as a wrapper when callers exist.</x:v>
      </x:c>
      <x:c r="U463" s="69" t="str"/>
      <x:c r="V463" s="69" t="str"/>
      <x:c r="W463" s="69" t="str"/>
      <x:c r="X463" s="72" t="n">
        <x:v>32205</x:v>
      </x:c>
      <x:c r="Y463" s="70" t="b">
        <x:v>1</x:v>
      </x:c>
      <x:c r="Z463" s="69" t="str">
        <x:v>Compatibility required</x:v>
      </x:c>
      <x:c r="AA463" s="69" t="str">
        <x:v>https://github.com/jwild2027/heico-ai-internship-summer-2026/blob/srv/tiff/trace_net_table_bbox_scoped_cell_extraction_v1.py</x:v>
      </x:c>
      <x:c r="AB463" s="69" t="str">
        <x:v>shared &lt;= string:contract, string:schema, string:trust_tier; ingestion &lt;= path:tiff; ocr &lt;= string:ocr; tables &lt;= path:table, symbol:table, string:table, string:table_row; embeddings &lt;= string:qdrant; retrieval &lt;= string:opensearch, string:retriev</x:v>
      </x:c>
    </x:row>
    <x:row r="464">
      <x:c r="A464" s="68" t="n">
        <x:v>463</x:v>
      </x:c>
      <x:c r="B464" s="69" t="str">
        <x:v>tiff/trace_net_table_bbox_scoped_cell_extraction_v1_quality.py</x:v>
      </x:c>
      <x:c r="C464" s="69" t="str">
        <x:v>trace_net_table_bbox_scoped_cell_extraction_v1_quality.py</x:v>
      </x:c>
      <x:c r="D464" s="69" t="str">
        <x:v>tables</x:v>
      </x:c>
      <x:c r="E464" s="69" t="str">
        <x:v>ingestion</x:v>
      </x:c>
      <x:c r="F464" s="69" t="str">
        <x:v>tables</x:v>
      </x:c>
      <x:c r="G464" s="69" t="str">
        <x:v>src/trace_net/tables/quality/</x:v>
      </x:c>
      <x:c r="H464" s="69" t="str">
        <x:v>src/trace_net/tables/quality/trace_net_table_bbox_scoped_cell_extraction_v1_quality.py</x:v>
      </x:c>
      <x:c r="I464" s="69" t="str">
        <x:v>quality validator module</x:v>
      </x:c>
      <x:c r="J464" s="69" t="str">
        <x:v>MOVE_WITH_IMPORT_UPDATES_AND_COMPATIBILITY_WRAPPER</x:v>
      </x:c>
      <x:c r="K464" s="70" t="b">
        <x:v>1</x:v>
      </x:c>
      <x:c r="L464" s="70" t="b">
        <x:v>0</x:v>
      </x:c>
      <x:c r="M464" s="70" t="b">
        <x:v>1</x:v>
      </x:c>
      <x:c r="N464" s="69" t="n">
        <x:v>1</x:v>
      </x:c>
      <x:c r="O464" s="69" t="n">
        <x:v>0</x:v>
      </x:c>
      <x:c r="P464" s="69" t="str">
        <x:v>scripts/check_trace_net_table_bbox_scoped_cell_extraction_v1_quality.py</x:v>
      </x:c>
      <x:c r="Q464" s="71" t="n">
        <x:v>0.97</x:v>
      </x:c>
      <x:c r="R464" s="69" t="str">
        <x:v>table pipeline naming</x:v>
      </x:c>
      <x:c r="S464" s="69" t="str">
        <x:v>Quality logic is reusable source code for the tables stage.</x:v>
      </x:c>
      <x:c r="T464" s="69" t="str">
        <x:v>Update test and script imports; retain the old tiff import as a thin wrapper until PASS.</x:v>
      </x:c>
      <x:c r="U464" s="69" t="str"/>
      <x:c r="V464" s="69" t="str"/>
      <x:c r="W464" s="69" t="str"/>
      <x:c r="X464" s="72" t="n">
        <x:v>3117</x:v>
      </x:c>
      <x:c r="Y464" s="70" t="b">
        <x:v>1</x:v>
      </x:c>
      <x:c r="Z464" s="69" t="str">
        <x:v>Compatibility required</x:v>
      </x:c>
      <x:c r="AA464" s="69" t="str">
        <x:v>https://github.com/jwild2027/heico-ai-internship-summer-2026/blob/srv/tiff/trace_net_table_bbox_scoped_cell_extraction_v1_quality.py</x:v>
      </x:c>
      <x:c r="AB464" s="69" t="str">
        <x:v>shared &lt;= string:schema; ingestion &lt;= path:tiff, import:tiff; ocr &lt;= string:ocr; tables &lt;= path:table, import:table, string:table; embeddings &lt;= string:qdrant; retrieval &lt;= string:opensearch</x:v>
      </x:c>
    </x:row>
    <x:row r="465">
      <x:c r="A465" s="68" t="n">
        <x:v>464</x:v>
      </x:c>
      <x:c r="B465" s="69" t="str">
        <x:v>tiff/trace_net_table_candidate_scan.py</x:v>
      </x:c>
      <x:c r="C465" s="69" t="str">
        <x:v>trace_net_table_candidate_scan.py</x:v>
      </x:c>
      <x:c r="D465" s="69" t="str">
        <x:v>tables</x:v>
      </x:c>
      <x:c r="E465" s="69" t="str">
        <x:v>ingestion</x:v>
      </x:c>
      <x:c r="F465" s="69" t="str">
        <x:v>tables</x:v>
      </x:c>
      <x:c r="G465" s="69" t="str">
        <x:v>src/trace_net/tables/</x:v>
      </x:c>
      <x:c r="H465" s="69" t="str">
        <x:v>src/trace_net/tables/trace_net_table_candidate_scan.py</x:v>
      </x:c>
      <x:c r="I465" s="69" t="str">
        <x:v>active library module</x:v>
      </x:c>
      <x:c r="J465" s="69" t="str">
        <x:v>MOVE_WITH_IMPORT_UPDATES_AND_COMPATIBILITY_WRAPPER</x:v>
      </x:c>
      <x:c r="K465" s="70" t="b">
        <x:v>1</x:v>
      </x:c>
      <x:c r="L465" s="70" t="b">
        <x:v>0</x:v>
      </x:c>
      <x:c r="M465" s="70" t="b">
        <x:v>1</x:v>
      </x:c>
      <x:c r="N465" s="69" t="n">
        <x:v>4</x:v>
      </x:c>
      <x:c r="O465" s="69" t="n">
        <x:v>0</x:v>
      </x:c>
      <x:c r="P465" s="69" t="str">
        <x:v>scripts/check_trace_net_table_candidate_quality.py; scripts/plan_trace_net_table_candidates.py; tests/unit/test_tiff_trace_net_table_candidate_quality.py; tests/unit/test_tiff_trace_net_table_candidate_scan.py</x:v>
      </x:c>
      <x:c r="Q465" s="71" t="n">
        <x:v>0.95</x:v>
      </x:c>
      <x:c r="R465" s="69" t="str">
        <x:v>table pipeline naming</x:v>
      </x:c>
      <x:c r="S465" s="69" t="str">
        <x:v>Primary implementation belongs to the tables stage based on filename, imports, and inventory evidence.</x:v>
      </x:c>
      <x:c r="T465" s="69" t="str">
        <x:v>Update imports and retain the old tiff module as a wrapper when callers exist.</x:v>
      </x:c>
      <x:c r="U465" s="69" t="str"/>
      <x:c r="V465" s="69" t="str">
        <x:v>TRACE_NET_REPAIR_PLAN_FILE, TRACE_NET_REPAIR_PLAN_JSONL_FILE, TRACE_NET_REPAIR_SUMMARY_FILE</x:v>
      </x:c>
      <x:c r="W465" s="69" t="str"/>
      <x:c r="X465" s="72" t="n">
        <x:v>43535</x:v>
      </x:c>
      <x:c r="Y465" s="70" t="b">
        <x:v>1</x:v>
      </x:c>
      <x:c r="Z465" s="69" t="str">
        <x:v>Compatibility required</x:v>
      </x:c>
      <x:c r="AA465" s="69" t="str">
        <x:v>https://github.com/jwild2027/heico-ai-internship-summer-2026/blob/srv/tiff/trace_net_table_candidate_scan.py</x:v>
      </x:c>
      <x:c r="AB465" s="69" t="str">
        <x:v>ingestion &lt;= path:tiff, symbol:tiff, string:page_image, string:tiff; ocr &lt;= string:ocr; visual &lt;= string:diagram, string:visual; tables &lt;= path:table, symbol:table, string:column, string:parts_list, string:table; graph &lt;= symbol:graph, string:graph; context &lt;= string:page_context</x:v>
      </x:c>
    </x:row>
    <x:row r="466">
      <x:c r="A466" s="68" t="n">
        <x:v>465</x:v>
      </x:c>
      <x:c r="B466" s="69" t="str">
        <x:v>tiff/trace_net_table_cell_normalizer_v1.py</x:v>
      </x:c>
      <x:c r="C466" s="69" t="str">
        <x:v>trace_net_table_cell_normalizer_v1.py</x:v>
      </x:c>
      <x:c r="D466" s="69" t="str">
        <x:v>tables</x:v>
      </x:c>
      <x:c r="E466" s="69" t="str"/>
      <x:c r="F466" s="69" t="str">
        <x:v>tables</x:v>
      </x:c>
      <x:c r="G466" s="69" t="str">
        <x:v>src/trace_net/tables/</x:v>
      </x:c>
      <x:c r="H466" s="69" t="str">
        <x:v>src/trace_net/tables/trace_net_table_cell_normalizer_v1.py</x:v>
      </x:c>
      <x:c r="I466" s="69" t="str">
        <x:v>artifact builder implementation</x:v>
      </x:c>
      <x:c r="J466" s="69" t="str">
        <x:v>MOVE_WITH_IMPORT_UPDATES_AND_COMPATIBILITY_WRAPPER</x:v>
      </x:c>
      <x:c r="K466" s="70" t="b">
        <x:v>1</x:v>
      </x:c>
      <x:c r="L466" s="70" t="b">
        <x:v>0</x:v>
      </x:c>
      <x:c r="M466" s="70" t="b">
        <x:v>1</x:v>
      </x:c>
      <x:c r="N466" s="69" t="n">
        <x:v>4</x:v>
      </x:c>
      <x:c r="O466" s="69" t="n">
        <x:v>0</x:v>
      </x:c>
      <x:c r="P466" s="69" t="str">
        <x:v>scripts/build_trace_net_table_cell_normalizer_v1.py; scripts/check_trace_net_table_cell_normalizer_v1_quality.py; tests/unit/test_trace_net_table_cell_normalizer_v1.py; tests/unit/test_trace_net_table_cell_normalizer_v1_quality.py</x:v>
      </x:c>
      <x:c r="Q466" s="71" t="n">
        <x:v>0.96</x:v>
      </x:c>
      <x:c r="R466" s="69" t="str">
        <x:v>table pipeline naming</x:v>
      </x:c>
      <x:c r="S466" s="69" t="str">
        <x:v>Build implementation is imported by active wrappers/tests and belongs to the tables package.</x:v>
      </x:c>
      <x:c r="T466" s="69" t="str">
        <x:v>Update wrapper imports and compare generated artifact counts/checksums.</x:v>
      </x:c>
      <x:c r="U466" s="69" t="str"/>
      <x:c r="V466" s="69" t="str"/>
      <x:c r="W466" s="69" t="str"/>
      <x:c r="X466" s="72" t="n">
        <x:v>37588</x:v>
      </x:c>
      <x:c r="Y466" s="70" t="b">
        <x:v>1</x:v>
      </x:c>
      <x:c r="Z466" s="69" t="str">
        <x:v>Compatibility required</x:v>
      </x:c>
      <x:c r="AA466" s="69" t="str">
        <x:v>https://github.com/jwild2027/heico-ai-internship-summer-2026/blob/srv/tiff/trace_net_table_cell_normalizer_v1.py</x:v>
      </x:c>
      <x:c r="AB466" s="69" t="str">
        <x:v>shared &lt;= string:helper, string:schema, string:trust_tier; ingestion &lt;= path:tiff, string:tiff; ocr &lt;= string:ocr; visual &lt;= string:vision; tables &lt;= path:table, path:table_cell, symbol:table, symbol:table_cell, string:ipl, string:table, string:table_cell, string:table_row; graph &lt;= string:graph</x:v>
      </x:c>
    </x:row>
    <x:row r="467">
      <x:c r="A467" s="68" t="n">
        <x:v>466</x:v>
      </x:c>
      <x:c r="B467" s="69" t="str">
        <x:v>tiff/trace_net_table_crop_completeness_guard_v1.py</x:v>
      </x:c>
      <x:c r="C467" s="69" t="str">
        <x:v>trace_net_table_crop_completeness_guard_v1.py</x:v>
      </x:c>
      <x:c r="D467" s="69" t="str">
        <x:v>tables</x:v>
      </x:c>
      <x:c r="E467" s="69" t="str">
        <x:v>ingestion</x:v>
      </x:c>
      <x:c r="F467" s="69" t="str">
        <x:v>tables</x:v>
      </x:c>
      <x:c r="G467" s="69" t="str">
        <x:v>src/trace_net/tables/quality/</x:v>
      </x:c>
      <x:c r="H467" s="69" t="str">
        <x:v>src/trace_net/tables/quality/trace_net_table_crop_completeness_guard_v1.py</x:v>
      </x:c>
      <x:c r="I467" s="69" t="str">
        <x:v>runtime validation/gating module</x:v>
      </x:c>
      <x:c r="J467" s="69" t="str">
        <x:v>MOVE_WITH_IMPORT_UPDATES_AND_COMPATIBILITY_WRAPPER</x:v>
      </x:c>
      <x:c r="K467" s="70" t="b">
        <x:v>1</x:v>
      </x:c>
      <x:c r="L467" s="70" t="b">
        <x:v>0</x:v>
      </x:c>
      <x:c r="M467" s="70" t="b">
        <x:v>1</x:v>
      </x:c>
      <x:c r="N467" s="69" t="n">
        <x:v>2</x:v>
      </x:c>
      <x:c r="O467" s="69" t="n">
        <x:v>0</x:v>
      </x:c>
      <x:c r="P467" s="69" t="str">
        <x:v>scripts/build_trace_net_table_crop_completeness_guard_v1.py; tests/unit/test_trace_net_table_crop_completeness_guard_v1.py</x:v>
      </x:c>
      <x:c r="Q467" s="71" t="n">
        <x:v>0.96</x:v>
      </x:c>
      <x:c r="R467" s="69" t="str">
        <x:v>table pipeline naming</x:v>
      </x:c>
      <x:c r="S467" s="69" t="str">
        <x:v>Implements a runtime gate, critic, hardener, or evidence sufficiency check.</x:v>
      </x:c>
      <x:c r="T467" s="69" t="str">
        <x:v>Preserve gating semantics and old import path until focused tests pass.</x:v>
      </x:c>
      <x:c r="U467" s="69" t="str"/>
      <x:c r="V467" s="69" t="str"/>
      <x:c r="W467" s="69" t="str"/>
      <x:c r="X467" s="72" t="n">
        <x:v>35330</x:v>
      </x:c>
      <x:c r="Y467" s="70" t="b">
        <x:v>1</x:v>
      </x:c>
      <x:c r="Z467" s="69" t="str">
        <x:v>Compatibility required</x:v>
      </x:c>
      <x:c r="AA467" s="69" t="str">
        <x:v>https://github.com/jwild2027/heico-ai-internship-summer-2026/blob/srv/tiff/trace_net_table_crop_completeness_guard_v1.py</x:v>
      </x:c>
      <x:c r="AB467" s="69" t="str">
        <x:v>shared &lt;= string:contract, string:schema; ingestion &lt;= path:tiff, import:tiff; tables &lt;= path:table, symbol:table, import:table, string:table; embeddings &lt;= string:qdrant; retrieval &lt;= string:opensearch, string:retriev; serving &lt;= string:serve</x:v>
      </x:c>
    </x:row>
    <x:row r="468">
      <x:c r="A468" s="68" t="n">
        <x:v>467</x:v>
      </x:c>
      <x:c r="B468" s="69" t="str">
        <x:v>tiff/trace_net_table_crop_completeness_guard_v1_quality.py</x:v>
      </x:c>
      <x:c r="C468" s="69" t="str">
        <x:v>trace_net_table_crop_completeness_guard_v1_quality.py</x:v>
      </x:c>
      <x:c r="D468" s="69" t="str">
        <x:v>tables</x:v>
      </x:c>
      <x:c r="E468" s="69" t="str">
        <x:v>ingestion</x:v>
      </x:c>
      <x:c r="F468" s="69" t="str">
        <x:v>tables</x:v>
      </x:c>
      <x:c r="G468" s="69" t="str">
        <x:v>src/trace_net/tables/quality/</x:v>
      </x:c>
      <x:c r="H468" s="69" t="str">
        <x:v>src/trace_net/tables/quality/trace_net_table_crop_completeness_guard_v1_quality.py</x:v>
      </x:c>
      <x:c r="I468" s="69" t="str">
        <x:v>quality validator module</x:v>
      </x:c>
      <x:c r="J468" s="69" t="str">
        <x:v>MOVE_WITH_IMPORT_UPDATES_AND_COMPATIBILITY_WRAPPER</x:v>
      </x:c>
      <x:c r="K468" s="70" t="b">
        <x:v>1</x:v>
      </x:c>
      <x:c r="L468" s="70" t="b">
        <x:v>0</x:v>
      </x:c>
      <x:c r="M468" s="70" t="b">
        <x:v>1</x:v>
      </x:c>
      <x:c r="N468" s="69" t="n">
        <x:v>3</x:v>
      </x:c>
      <x:c r="O468" s="69" t="n">
        <x:v>0</x:v>
      </x:c>
      <x:c r="P468" s="69" t="str">
        <x:v>scripts/check_trace_net_table_crop_completeness_guard_v1_quality.py; tests/unit/test_trace_net_table_crop_completeness_guard_v1_quality.py; tiff/trace_net_table_crop_completeness_guard_v1.py</x:v>
      </x:c>
      <x:c r="Q468" s="71" t="n">
        <x:v>0.97</x:v>
      </x:c>
      <x:c r="R468" s="69" t="str">
        <x:v>table pipeline naming</x:v>
      </x:c>
      <x:c r="S468" s="69" t="str">
        <x:v>Quality logic is reusable source code for the tables stage.</x:v>
      </x:c>
      <x:c r="T468" s="69" t="str">
        <x:v>Update test and script imports; retain the old tiff import as a thin wrapper until PASS.</x:v>
      </x:c>
      <x:c r="U468" s="69" t="str"/>
      <x:c r="V468" s="69" t="str"/>
      <x:c r="W468" s="69" t="str"/>
      <x:c r="X468" s="72" t="n">
        <x:v>7818</x:v>
      </x:c>
      <x:c r="Y468" s="70" t="b">
        <x:v>1</x:v>
      </x:c>
      <x:c r="Z468" s="69" t="str">
        <x:v>Compatibility required</x:v>
      </x:c>
      <x:c r="AA468" s="69" t="str">
        <x:v>https://github.com/jwild2027/heico-ai-internship-summer-2026/blob/srv/tiff/trace_net_table_crop_completeness_guard_v1_quality.py</x:v>
      </x:c>
      <x:c r="AB468" s="69" t="str">
        <x:v>shared &lt;= string:schema; ingestion &lt;= path:tiff; tables &lt;= path:table, string:table; embeddings &lt;= string:qdrant; retrieval &lt;= string:opensearch; referenced_by_count=1</x:v>
      </x:c>
    </x:row>
    <x:row r="469">
      <x:c r="A469" s="68" t="n">
        <x:v>468</x:v>
      </x:c>
      <x:c r="B469" s="69" t="str">
        <x:v>tiff/trace_net_table_crop_margin_expansion_experiment_v1.py</x:v>
      </x:c>
      <x:c r="C469" s="69" t="str">
        <x:v>trace_net_table_crop_margin_expansion_experiment_v1.py</x:v>
      </x:c>
      <x:c r="D469" s="69" t="str">
        <x:v>tables</x:v>
      </x:c>
      <x:c r="E469" s="69" t="str">
        <x:v>ingestion, benchmarks</x:v>
      </x:c>
      <x:c r="F469" s="69" t="str">
        <x:v>tables</x:v>
      </x:c>
      <x:c r="G469" s="69" t="str">
        <x:v>src/trace_net/tables/</x:v>
      </x:c>
      <x:c r="H469" s="69" t="str">
        <x:v>src/trace_net/tables/trace_net_table_crop_margin_expansion_experiment_v1.py</x:v>
      </x:c>
      <x:c r="I469" s="69" t="str">
        <x:v>active library module</x:v>
      </x:c>
      <x:c r="J469" s="69" t="str">
        <x:v>MOVE_WITH_IMPORT_UPDATES_AND_COMPATIBILITY_WRAPPER</x:v>
      </x:c>
      <x:c r="K469" s="70" t="b">
        <x:v>1</x:v>
      </x:c>
      <x:c r="L469" s="70" t="b">
        <x:v>0</x:v>
      </x:c>
      <x:c r="M469" s="70" t="b">
        <x:v>1</x:v>
      </x:c>
      <x:c r="N469" s="69" t="n">
        <x:v>4</x:v>
      </x:c>
      <x:c r="O469" s="69" t="n">
        <x:v>0</x:v>
      </x:c>
      <x:c r="P469" s="69" t="str">
        <x:v>scripts/build_trace_net_table_crop_margin_expansion_experiment_v1.py; tests/unit/test_trace_net_table_crop_margin_expansion_experiment_v1.py; tests/unit/test_trace_net_table_crop_margin_expansion_experiment_v1_quality.py; tiff/trace_net_table_crop_margin_expansion_experiment_v1_quality.py</x:v>
      </x:c>
      <x:c r="Q469" s="71" t="n">
        <x:v>0.95</x:v>
      </x:c>
      <x:c r="R469" s="69" t="str">
        <x:v>table pipeline naming</x:v>
      </x:c>
      <x:c r="S469" s="69" t="str">
        <x:v>Primary implementation belongs to the tables stage based on filename, imports, and inventory evidence.</x:v>
      </x:c>
      <x:c r="T469" s="69" t="str">
        <x:v>Update imports and retain the old tiff module as a wrapper when callers exist.</x:v>
      </x:c>
      <x:c r="U469" s="69" t="str"/>
      <x:c r="V469" s="69" t="str"/>
      <x:c r="W469" s="69" t="str"/>
      <x:c r="X469" s="72" t="n">
        <x:v>29713</x:v>
      </x:c>
      <x:c r="Y469" s="70" t="b">
        <x:v>1</x:v>
      </x:c>
      <x:c r="Z469" s="69" t="str">
        <x:v>Compatibility required</x:v>
      </x:c>
      <x:c r="AA469" s="69" t="str">
        <x:v>https://github.com/jwild2027/heico-ai-internship-summer-2026/blob/srv/tiff/trace_net_table_crop_margin_expansion_experiment_v1.py</x:v>
      </x:c>
      <x:c r="AB469" s="69" t="str">
        <x:v>shared &lt;= string:contract, string:schema; ingestion &lt;= path:tiff, string:page_image, string:tiff; tables &lt;= path:table, symbol:table, string:table; embeddings &lt;= string:qdrant; retrieval &lt;= string:opensearch, string:retriev; serving &lt;= import:sse</x:v>
      </x:c>
    </x:row>
    <x:row r="470">
      <x:c r="A470" s="68" t="n">
        <x:v>469</x:v>
      </x:c>
      <x:c r="B470" s="69" t="str">
        <x:v>tiff/trace_net_table_crop_margin_expansion_experiment_v1_quality.py</x:v>
      </x:c>
      <x:c r="C470" s="69" t="str">
        <x:v>trace_net_table_crop_margin_expansion_experiment_v1_quality.py</x:v>
      </x:c>
      <x:c r="D470" s="69" t="str">
        <x:v>tables</x:v>
      </x:c>
      <x:c r="E470" s="69" t="str">
        <x:v>ingestion</x:v>
      </x:c>
      <x:c r="F470" s="69" t="str">
        <x:v>tables</x:v>
      </x:c>
      <x:c r="G470" s="69" t="str">
        <x:v>src/trace_net/tables/quality/</x:v>
      </x:c>
      <x:c r="H470" s="69" t="str">
        <x:v>src/trace_net/tables/quality/trace_net_table_crop_margin_expansion_experiment_v1_quality.py</x:v>
      </x:c>
      <x:c r="I470" s="69" t="str">
        <x:v>quality validator module</x:v>
      </x:c>
      <x:c r="J470" s="69" t="str">
        <x:v>MOVE_WITH_IMPORT_UPDATES_AND_COMPATIBILITY_WRAPPER</x:v>
      </x:c>
      <x:c r="K470" s="70" t="b">
        <x:v>1</x:v>
      </x:c>
      <x:c r="L470" s="70" t="b">
        <x:v>0</x:v>
      </x:c>
      <x:c r="M470" s="70" t="b">
        <x:v>1</x:v>
      </x:c>
      <x:c r="N470" s="69" t="n">
        <x:v>1</x:v>
      </x:c>
      <x:c r="O470" s="69" t="n">
        <x:v>0</x:v>
      </x:c>
      <x:c r="P470" s="69" t="str">
        <x:v>scripts/check_trace_net_table_crop_margin_expansion_experiment_v1_quality.py</x:v>
      </x:c>
      <x:c r="Q470" s="71" t="n">
        <x:v>0.97</x:v>
      </x:c>
      <x:c r="R470" s="69" t="str">
        <x:v>table pipeline naming</x:v>
      </x:c>
      <x:c r="S470" s="69" t="str">
        <x:v>Quality logic is reusable source code for the tables stage.</x:v>
      </x:c>
      <x:c r="T470" s="69" t="str">
        <x:v>Update test and script imports; retain the old tiff import as a thin wrapper until PASS.</x:v>
      </x:c>
      <x:c r="U470" s="69" t="str"/>
      <x:c r="V470" s="69" t="str"/>
      <x:c r="W470" s="69" t="str"/>
      <x:c r="X470" s="72" t="n">
        <x:v>4041</x:v>
      </x:c>
      <x:c r="Y470" s="70" t="b">
        <x:v>1</x:v>
      </x:c>
      <x:c r="Z470" s="69" t="str">
        <x:v>Compatibility required</x:v>
      </x:c>
      <x:c r="AA470" s="69" t="str">
        <x:v>https://github.com/jwild2027/heico-ai-internship-summer-2026/blob/srv/tiff/trace_net_table_crop_margin_expansion_experiment_v1_quality.py</x:v>
      </x:c>
      <x:c r="AB470" s="69" t="str">
        <x:v>shared &lt;= string:schema; ingestion &lt;= path:tiff, import:tiff; tables &lt;= path:table, import:table, string:table; embeddings &lt;= string:qdrant; retrieval &lt;= string:opensearch; referenced_by_count=1</x:v>
      </x:c>
    </x:row>
    <x:row r="471">
      <x:c r="A471" s="68" t="n">
        <x:v>470</x:v>
      </x:c>
      <x:c r="B471" s="69" t="str">
        <x:v>tiff/trace_net_table_crop_selection_diagnostics_v1.py</x:v>
      </x:c>
      <x:c r="C471" s="69" t="str">
        <x:v>trace_net_table_crop_selection_diagnostics_v1.py</x:v>
      </x:c>
      <x:c r="D471" s="69" t="str">
        <x:v>tables</x:v>
      </x:c>
      <x:c r="E471" s="69" t="str">
        <x:v>ingestion</x:v>
      </x:c>
      <x:c r="F471" s="69" t="str">
        <x:v>tables</x:v>
      </x:c>
      <x:c r="G471" s="69" t="str">
        <x:v>src/trace_net/tables/</x:v>
      </x:c>
      <x:c r="H471" s="69" t="str">
        <x:v>src/trace_net/tables/trace_net_table_crop_selection_diagnostics_v1.py</x:v>
      </x:c>
      <x:c r="I471" s="69" t="str">
        <x:v>active library module</x:v>
      </x:c>
      <x:c r="J471" s="69" t="str">
        <x:v>MOVE_WITH_IMPORT_UPDATES_AND_COMPATIBILITY_WRAPPER</x:v>
      </x:c>
      <x:c r="K471" s="70" t="b">
        <x:v>1</x:v>
      </x:c>
      <x:c r="L471" s="70" t="b">
        <x:v>0</x:v>
      </x:c>
      <x:c r="M471" s="70" t="b">
        <x:v>1</x:v>
      </x:c>
      <x:c r="N471" s="69" t="n">
        <x:v>4</x:v>
      </x:c>
      <x:c r="O471" s="69" t="n">
        <x:v>0</x:v>
      </x:c>
      <x:c r="P471" s="69" t="str">
        <x:v>scripts/build_trace_net_table_crop_selection_diagnostics_v1.py; tests/unit/test_trace_net_table_crop_selection_diagnostics_v1.py; tests/unit/test_trace_net_table_crop_selection_diagnostics_v1_quality.py; tiff/trace_net_table_crop_selection_diagnostics_v1_quality.py</x:v>
      </x:c>
      <x:c r="Q471" s="71" t="n">
        <x:v>0.95</x:v>
      </x:c>
      <x:c r="R471" s="69" t="str">
        <x:v>table pipeline naming</x:v>
      </x:c>
      <x:c r="S471" s="69" t="str">
        <x:v>Primary implementation belongs to the tables stage based on filename, imports, and inventory evidence.</x:v>
      </x:c>
      <x:c r="T471" s="69" t="str">
        <x:v>Update imports and retain the old tiff module as a wrapper when callers exist.</x:v>
      </x:c>
      <x:c r="U471" s="69" t="str"/>
      <x:c r="V471" s="69" t="str"/>
      <x:c r="W471" s="69" t="str"/>
      <x:c r="X471" s="72" t="n">
        <x:v>25702</x:v>
      </x:c>
      <x:c r="Y471" s="70" t="b">
        <x:v>1</x:v>
      </x:c>
      <x:c r="Z471" s="69" t="str">
        <x:v>Compatibility required</x:v>
      </x:c>
      <x:c r="AA471" s="69" t="str">
        <x:v>https://github.com/jwild2027/heico-ai-internship-summer-2026/blob/srv/tiff/trace_net_table_crop_selection_diagnostics_v1.py</x:v>
      </x:c>
      <x:c r="AB471" s="69" t="str">
        <x:v>shared &lt;= symbol:common, string:contract, string:schema; ingestion &lt;= path:tiff; ocr &lt;= string:ocr; visual &lt;= string:visual; tables &lt;= path:table, symbol:table, string:table; embeddings &lt;= string:qdrant</x:v>
      </x:c>
    </x:row>
    <x:row r="472">
      <x:c r="A472" s="68" t="n">
        <x:v>471</x:v>
      </x:c>
      <x:c r="B472" s="69" t="str">
        <x:v>tiff/trace_net_table_crop_selection_diagnostics_v1_quality.py</x:v>
      </x:c>
      <x:c r="C472" s="69" t="str">
        <x:v>trace_net_table_crop_selection_diagnostics_v1_quality.py</x:v>
      </x:c>
      <x:c r="D472" s="69" t="str">
        <x:v>tables</x:v>
      </x:c>
      <x:c r="E472" s="69" t="str">
        <x:v>ingestion</x:v>
      </x:c>
      <x:c r="F472" s="69" t="str">
        <x:v>tables</x:v>
      </x:c>
      <x:c r="G472" s="69" t="str">
        <x:v>src/trace_net/tables/quality/</x:v>
      </x:c>
      <x:c r="H472" s="69" t="str">
        <x:v>src/trace_net/tables/quality/trace_net_table_crop_selection_diagnostics_v1_quality.py</x:v>
      </x:c>
      <x:c r="I472" s="69" t="str">
        <x:v>quality validator module</x:v>
      </x:c>
      <x:c r="J472" s="69" t="str">
        <x:v>MOVE_WITH_IMPORT_UPDATES_AND_COMPATIBILITY_WRAPPER</x:v>
      </x:c>
      <x:c r="K472" s="70" t="b">
        <x:v>1</x:v>
      </x:c>
      <x:c r="L472" s="70" t="b">
        <x:v>0</x:v>
      </x:c>
      <x:c r="M472" s="70" t="b">
        <x:v>1</x:v>
      </x:c>
      <x:c r="N472" s="69" t="n">
        <x:v>1</x:v>
      </x:c>
      <x:c r="O472" s="69" t="n">
        <x:v>0</x:v>
      </x:c>
      <x:c r="P472" s="69" t="str">
        <x:v>scripts/check_trace_net_table_crop_selection_diagnostics_v1_quality.py</x:v>
      </x:c>
      <x:c r="Q472" s="71" t="n">
        <x:v>0.97</x:v>
      </x:c>
      <x:c r="R472" s="69" t="str">
        <x:v>table pipeline naming</x:v>
      </x:c>
      <x:c r="S472" s="69" t="str">
        <x:v>Quality logic is reusable source code for the tables stage.</x:v>
      </x:c>
      <x:c r="T472" s="69" t="str">
        <x:v>Update test and script imports; retain the old tiff import as a thin wrapper until PASS.</x:v>
      </x:c>
      <x:c r="U472" s="69" t="str"/>
      <x:c r="V472" s="69" t="str"/>
      <x:c r="W472" s="69" t="str"/>
      <x:c r="X472" s="72" t="n">
        <x:v>5536</x:v>
      </x:c>
      <x:c r="Y472" s="70" t="b">
        <x:v>1</x:v>
      </x:c>
      <x:c r="Z472" s="69" t="str">
        <x:v>Compatibility required</x:v>
      </x:c>
      <x:c r="AA472" s="69" t="str">
        <x:v>https://github.com/jwild2027/heico-ai-internship-summer-2026/blob/srv/tiff/trace_net_table_crop_selection_diagnostics_v1_quality.py</x:v>
      </x:c>
      <x:c r="AB472" s="69" t="str">
        <x:v>shared &lt;= string:schema; ingestion &lt;= path:tiff, import:tiff; ocr &lt;= string:ocr; tables &lt;= path:table, import:table, string:table; embeddings &lt;= string:qdrant; retrieval &lt;= string:opensearch</x:v>
      </x:c>
    </x:row>
    <x:row r="473">
      <x:c r="A473" s="68" t="n">
        <x:v>472</x:v>
      </x:c>
      <x:c r="B473" s="69" t="str">
        <x:v>tiff/trace_net_table_detector_overlay_audit_v1.py</x:v>
      </x:c>
      <x:c r="C473" s="69" t="str">
        <x:v>trace_net_table_detector_overlay_audit_v1.py</x:v>
      </x:c>
      <x:c r="D473" s="69" t="str">
        <x:v>tables</x:v>
      </x:c>
      <x:c r="E473" s="69" t="str">
        <x:v>ingestion</x:v>
      </x:c>
      <x:c r="F473" s="69" t="str">
        <x:v>tables</x:v>
      </x:c>
      <x:c r="G473" s="69" t="str">
        <x:v>src/trace_net/tables/</x:v>
      </x:c>
      <x:c r="H473" s="69" t="str">
        <x:v>src/trace_net/tables/trace_net_table_detector_overlay_audit_v1.py</x:v>
      </x:c>
      <x:c r="I473" s="69" t="str">
        <x:v>active library module</x:v>
      </x:c>
      <x:c r="J473" s="69" t="str">
        <x:v>MOVE_WITH_IMPORT_UPDATES_AND_COMPATIBILITY_WRAPPER</x:v>
      </x:c>
      <x:c r="K473" s="70" t="b">
        <x:v>1</x:v>
      </x:c>
      <x:c r="L473" s="70" t="b">
        <x:v>0</x:v>
      </x:c>
      <x:c r="M473" s="70" t="b">
        <x:v>1</x:v>
      </x:c>
      <x:c r="N473" s="69" t="n">
        <x:v>4</x:v>
      </x:c>
      <x:c r="O473" s="69" t="n">
        <x:v>0</x:v>
      </x:c>
      <x:c r="P473" s="69" t="str">
        <x:v>scripts/build_trace_net_table_detector_overlay_audit_v1.py; tests/unit/test_trace_net_table_detector_overlay_audit_v1.py; tests/unit/test_trace_net_table_detector_overlay_audit_v1_quality.py; tiff/trace_net_table_detector_overlay_audit_v1_quality.py</x:v>
      </x:c>
      <x:c r="Q473" s="71" t="n">
        <x:v>0.95</x:v>
      </x:c>
      <x:c r="R473" s="69" t="str">
        <x:v>table pipeline naming</x:v>
      </x:c>
      <x:c r="S473" s="69" t="str">
        <x:v>Primary implementation belongs to the tables stage based on filename, imports, and inventory evidence.</x:v>
      </x:c>
      <x:c r="T473" s="69" t="str">
        <x:v>Update imports and retain the old tiff module as a wrapper when callers exist.</x:v>
      </x:c>
      <x:c r="U473" s="69" t="str"/>
      <x:c r="V473" s="69" t="str"/>
      <x:c r="W473" s="69" t="str"/>
      <x:c r="X473" s="72" t="n">
        <x:v>26797</x:v>
      </x:c>
      <x:c r="Y473" s="70" t="b">
        <x:v>1</x:v>
      </x:c>
      <x:c r="Z473" s="69" t="str">
        <x:v>Compatibility required</x:v>
      </x:c>
      <x:c r="AA473" s="69" t="str">
        <x:v>https://github.com/jwild2027/heico-ai-internship-summer-2026/blob/srv/tiff/trace_net_table_detector_overlay_audit_v1.py</x:v>
      </x:c>
      <x:c r="AB473" s="69" t="str">
        <x:v>shared &lt;= string:contract, string:schema; ingestion &lt;= path:tiff; visual &lt;= string:visual; tables &lt;= path:table, symbol:table, string:table; embeddings &lt;= string:qdrant; retrieval &lt;= string:opensearch, string:retriev</x:v>
      </x:c>
    </x:row>
    <x:row r="474">
      <x:c r="A474" s="68" t="n">
        <x:v>473</x:v>
      </x:c>
      <x:c r="B474" s="69" t="str">
        <x:v>tiff/trace_net_table_detector_overlay_audit_v1_quality.py</x:v>
      </x:c>
      <x:c r="C474" s="69" t="str">
        <x:v>trace_net_table_detector_overlay_audit_v1_quality.py</x:v>
      </x:c>
      <x:c r="D474" s="69" t="str">
        <x:v>tables</x:v>
      </x:c>
      <x:c r="E474" s="69" t="str">
        <x:v>ingestion</x:v>
      </x:c>
      <x:c r="F474" s="69" t="str">
        <x:v>tables</x:v>
      </x:c>
      <x:c r="G474" s="69" t="str">
        <x:v>src/trace_net/tables/quality/</x:v>
      </x:c>
      <x:c r="H474" s="69" t="str">
        <x:v>src/trace_net/tables/quality/trace_net_table_detector_overlay_audit_v1_quality.py</x:v>
      </x:c>
      <x:c r="I474" s="69" t="str">
        <x:v>quality validator module</x:v>
      </x:c>
      <x:c r="J474" s="69" t="str">
        <x:v>MOVE_WITH_IMPORT_UPDATES_AND_COMPATIBILITY_WRAPPER</x:v>
      </x:c>
      <x:c r="K474" s="70" t="b">
        <x:v>1</x:v>
      </x:c>
      <x:c r="L474" s="70" t="b">
        <x:v>0</x:v>
      </x:c>
      <x:c r="M474" s="70" t="b">
        <x:v>1</x:v>
      </x:c>
      <x:c r="N474" s="69" t="n">
        <x:v>2</x:v>
      </x:c>
      <x:c r="O474" s="69" t="n">
        <x:v>0</x:v>
      </x:c>
      <x:c r="P474" s="69" t="str">
        <x:v>scripts/check_trace_net_table_detector_overlay_audit_v1_quality.py; tests/unit/test_trace_net_table_detector_overlay_audit_v1_quality.py</x:v>
      </x:c>
      <x:c r="Q474" s="71" t="n">
        <x:v>0.97</x:v>
      </x:c>
      <x:c r="R474" s="69" t="str">
        <x:v>table pipeline naming</x:v>
      </x:c>
      <x:c r="S474" s="69" t="str">
        <x:v>Quality logic is reusable source code for the tables stage.</x:v>
      </x:c>
      <x:c r="T474" s="69" t="str">
        <x:v>Update test and script imports; retain the old tiff import as a thin wrapper until PASS.</x:v>
      </x:c>
      <x:c r="U474" s="69" t="str"/>
      <x:c r="V474" s="69" t="str"/>
      <x:c r="W474" s="69" t="str"/>
      <x:c r="X474" s="72" t="n">
        <x:v>6587</x:v>
      </x:c>
      <x:c r="Y474" s="70" t="b">
        <x:v>1</x:v>
      </x:c>
      <x:c r="Z474" s="69" t="str">
        <x:v>Compatibility required</x:v>
      </x:c>
      <x:c r="AA474" s="69" t="str">
        <x:v>https://github.com/jwild2027/heico-ai-internship-summer-2026/blob/srv/tiff/trace_net_table_detector_overlay_audit_v1_quality.py</x:v>
      </x:c>
      <x:c r="AB474" s="69" t="str">
        <x:v>shared &lt;= string:schema; ingestion &lt;= path:tiff, import:tiff; tables &lt;= path:table, import:table, string:table; embeddings &lt;= string:qdrant; retrieval &lt;= string:opensearch; referenced_by_count=2</x:v>
      </x:c>
    </x:row>
    <x:row r="475">
      <x:c r="A475" s="68" t="n">
        <x:v>474</x:v>
      </x:c>
      <x:c r="B475" s="69" t="str">
        <x:v>tiff/trace_net_table_detector_overlay_review_pack_v1.py</x:v>
      </x:c>
      <x:c r="C475" s="69" t="str">
        <x:v>trace_net_table_detector_overlay_review_pack_v1.py</x:v>
      </x:c>
      <x:c r="D475" s="69" t="str">
        <x:v>tables</x:v>
      </x:c>
      <x:c r="E475" s="69" t="str">
        <x:v>ingestion</x:v>
      </x:c>
      <x:c r="F475" s="69" t="str">
        <x:v>tables</x:v>
      </x:c>
      <x:c r="G475" s="69" t="str">
        <x:v>src/trace_net/tables/</x:v>
      </x:c>
      <x:c r="H475" s="69" t="str">
        <x:v>src/trace_net/tables/trace_net_table_detector_overlay_review_pack_v1.py</x:v>
      </x:c>
      <x:c r="I475" s="69" t="str">
        <x:v>active library module</x:v>
      </x:c>
      <x:c r="J475" s="69" t="str">
        <x:v>MOVE_WITH_IMPORT_UPDATES_AND_COMPATIBILITY_WRAPPER</x:v>
      </x:c>
      <x:c r="K475" s="70" t="b">
        <x:v>1</x:v>
      </x:c>
      <x:c r="L475" s="70" t="b">
        <x:v>0</x:v>
      </x:c>
      <x:c r="M475" s="70" t="b">
        <x:v>1</x:v>
      </x:c>
      <x:c r="N475" s="69" t="n">
        <x:v>4</x:v>
      </x:c>
      <x:c r="O475" s="69" t="n">
        <x:v>0</x:v>
      </x:c>
      <x:c r="P475" s="69" t="str">
        <x:v>scripts/build_trace_net_table_detector_overlay_review_pack_v1.py; tests/unit/test_trace_net_table_detector_overlay_review_pack_v1.py; tests/unit/test_trace_net_table_detector_overlay_review_pack_v1_quality.py; tiff/trace_net_table_detector_overlay_review_pack_v1_quality.py</x:v>
      </x:c>
      <x:c r="Q475" s="71" t="n">
        <x:v>0.95</x:v>
      </x:c>
      <x:c r="R475" s="69" t="str">
        <x:v>table pipeline naming</x:v>
      </x:c>
      <x:c r="S475" s="69" t="str">
        <x:v>Primary implementation belongs to the tables stage based on filename, imports, and inventory evidence.</x:v>
      </x:c>
      <x:c r="T475" s="69" t="str">
        <x:v>Update imports and retain the old tiff module as a wrapper when callers exist.</x:v>
      </x:c>
      <x:c r="U475" s="69" t="str"/>
      <x:c r="V475" s="69" t="str"/>
      <x:c r="W475" s="69" t="str"/>
      <x:c r="X475" s="72" t="n">
        <x:v>22422</x:v>
      </x:c>
      <x:c r="Y475" s="70" t="b">
        <x:v>1</x:v>
      </x:c>
      <x:c r="Z475" s="69" t="str">
        <x:v>Compatibility required</x:v>
      </x:c>
      <x:c r="AA475" s="69" t="str">
        <x:v>https://github.com/jwild2027/heico-ai-internship-summer-2026/blob/srv/tiff/trace_net_table_detector_overlay_review_pack_v1.py</x:v>
      </x:c>
      <x:c r="AB475" s="69" t="str">
        <x:v>shared &lt;= string:contract, string:schema; ingestion &lt;= path:tiff; tables &lt;= path:table, symbol:table, string:column, string:table; embeddings &lt;= string:qdrant; retrieval &lt;= string:opensearch, string:retriev; serving &lt;= import:sse</x:v>
      </x:c>
    </x:row>
    <x:row r="476">
      <x:c r="A476" s="68" t="n">
        <x:v>475</x:v>
      </x:c>
      <x:c r="B476" s="69" t="str">
        <x:v>tiff/trace_net_table_detector_overlay_review_pack_v1_quality.py</x:v>
      </x:c>
      <x:c r="C476" s="69" t="str">
        <x:v>trace_net_table_detector_overlay_review_pack_v1_quality.py</x:v>
      </x:c>
      <x:c r="D476" s="69" t="str">
        <x:v>tables</x:v>
      </x:c>
      <x:c r="E476" s="69" t="str">
        <x:v>ingestion</x:v>
      </x:c>
      <x:c r="F476" s="69" t="str">
        <x:v>tables</x:v>
      </x:c>
      <x:c r="G476" s="69" t="str">
        <x:v>src/trace_net/tables/quality/</x:v>
      </x:c>
      <x:c r="H476" s="69" t="str">
        <x:v>src/trace_net/tables/quality/trace_net_table_detector_overlay_review_pack_v1_quality.py</x:v>
      </x:c>
      <x:c r="I476" s="69" t="str">
        <x:v>quality validator module</x:v>
      </x:c>
      <x:c r="J476" s="69" t="str">
        <x:v>MOVE_WITH_IMPORT_UPDATES_AND_COMPATIBILITY_WRAPPER</x:v>
      </x:c>
      <x:c r="K476" s="70" t="b">
        <x:v>1</x:v>
      </x:c>
      <x:c r="L476" s="70" t="b">
        <x:v>0</x:v>
      </x:c>
      <x:c r="M476" s="70" t="b">
        <x:v>1</x:v>
      </x:c>
      <x:c r="N476" s="69" t="n">
        <x:v>1</x:v>
      </x:c>
      <x:c r="O476" s="69" t="n">
        <x:v>0</x:v>
      </x:c>
      <x:c r="P476" s="69" t="str">
        <x:v>scripts/check_trace_net_table_detector_overlay_review_pack_v1_quality.py</x:v>
      </x:c>
      <x:c r="Q476" s="71" t="n">
        <x:v>0.97</x:v>
      </x:c>
      <x:c r="R476" s="69" t="str">
        <x:v>table pipeline naming</x:v>
      </x:c>
      <x:c r="S476" s="69" t="str">
        <x:v>Quality logic is reusable source code for the tables stage.</x:v>
      </x:c>
      <x:c r="T476" s="69" t="str">
        <x:v>Update test and script imports; retain the old tiff import as a thin wrapper until PASS.</x:v>
      </x:c>
      <x:c r="U476" s="69" t="str"/>
      <x:c r="V476" s="69" t="str"/>
      <x:c r="W476" s="69" t="str"/>
      <x:c r="X476" s="72" t="n">
        <x:v>3504</x:v>
      </x:c>
      <x:c r="Y476" s="70" t="b">
        <x:v>1</x:v>
      </x:c>
      <x:c r="Z476" s="69" t="str">
        <x:v>Compatibility required</x:v>
      </x:c>
      <x:c r="AA476" s="69" t="str">
        <x:v>https://github.com/jwild2027/heico-ai-internship-summer-2026/blob/srv/tiff/trace_net_table_detector_overlay_review_pack_v1_quality.py</x:v>
      </x:c>
      <x:c r="AB476" s="69" t="str">
        <x:v>ingestion &lt;= path:tiff, import:tiff; tables &lt;= path:table, import:table, string:table; embeddings &lt;= string:qdrant; retrieval &lt;= string:opensearch; referenced_by_count=2; imported_by_count=1</x:v>
      </x:c>
    </x:row>
    <x:row r="477">
      <x:c r="A477" s="68" t="n">
        <x:v>476</x:v>
      </x:c>
      <x:c r="B477" s="69" t="str">
        <x:v>tiff/trace_net_table_detector_overlay_verdict_ingest_v1.py</x:v>
      </x:c>
      <x:c r="C477" s="69" t="str">
        <x:v>trace_net_table_detector_overlay_verdict_ingest_v1.py</x:v>
      </x:c>
      <x:c r="D477" s="69" t="str">
        <x:v>ingestion</x:v>
      </x:c>
      <x:c r="E477" s="69" t="str">
        <x:v>tables</x:v>
      </x:c>
      <x:c r="F477" s="69" t="str">
        <x:v>tables</x:v>
      </x:c>
      <x:c r="G477" s="69" t="str">
        <x:v>src/trace_net/tables/</x:v>
      </x:c>
      <x:c r="H477" s="69" t="str">
        <x:v>src/trace_net/tables/trace_net_table_detector_overlay_verdict_ingest_v1.py</x:v>
      </x:c>
      <x:c r="I477" s="69" t="str">
        <x:v>active library module</x:v>
      </x:c>
      <x:c r="J477" s="69" t="str">
        <x:v>MOVE_WITH_IMPORT_UPDATES_AND_COMPATIBILITY_WRAPPER</x:v>
      </x:c>
      <x:c r="K477" s="70" t="b">
        <x:v>1</x:v>
      </x:c>
      <x:c r="L477" s="70" t="b">
        <x:v>0</x:v>
      </x:c>
      <x:c r="M477" s="70" t="b">
        <x:v>1</x:v>
      </x:c>
      <x:c r="N477" s="69" t="n">
        <x:v>3</x:v>
      </x:c>
      <x:c r="O477" s="69" t="n">
        <x:v>0</x:v>
      </x:c>
      <x:c r="P477" s="69" t="str">
        <x:v>scripts/build_trace_net_table_detector_overlay_verdict_ingest_v1.py; tests/unit/test_trace_net_table_detector_overlay_verdict_ingest_v1.py; tests/unit/test_trace_net_table_detector_overlay_verdict_ingest_v1_quality.py</x:v>
      </x:c>
      <x:c r="Q477" s="71" t="n">
        <x:v>0.95</x:v>
      </x:c>
      <x:c r="R477" s="69" t="str">
        <x:v>table pipeline naming</x:v>
      </x:c>
      <x:c r="S477" s="69" t="str">
        <x:v>Primary implementation belongs to the tables stage based on filename, imports, and inventory evidence.</x:v>
      </x:c>
      <x:c r="T477" s="69" t="str">
        <x:v>Update imports and retain the old tiff module as a wrapper when callers exist.</x:v>
      </x:c>
      <x:c r="U477" s="69" t="str"/>
      <x:c r="V477" s="69" t="str"/>
      <x:c r="W477" s="69" t="str"/>
      <x:c r="X477" s="72" t="n">
        <x:v>20639</x:v>
      </x:c>
      <x:c r="Y477" s="70" t="b">
        <x:v>1</x:v>
      </x:c>
      <x:c r="Z477" s="69" t="str">
        <x:v>Compatibility required</x:v>
      </x:c>
      <x:c r="AA477" s="69" t="str">
        <x:v>https://github.com/jwild2027/heico-ai-internship-summer-2026/blob/srv/tiff/trace_net_table_detector_overlay_verdict_ingest_v1.py</x:v>
      </x:c>
      <x:c r="AB477" s="69" t="str">
        <x:v>shared &lt;= string:contract, string:schema; ingestion &lt;= path:ingest, path:tiff, symbol:ingest, string:ingest; tables &lt;= path:table, symbol:table, string:table; embeddings &lt;= string:qdrant; retrieval &lt;= string:opensearch, string:retriev; llm_writing &lt;= string:final_answer</x:v>
      </x:c>
    </x:row>
    <x:row r="478">
      <x:c r="A478" s="68" t="n">
        <x:v>477</x:v>
      </x:c>
      <x:c r="B478" s="69" t="str">
        <x:v>tiff/trace_net_table_detector_overlay_verdict_ingest_v1_quality.py</x:v>
      </x:c>
      <x:c r="C478" s="69" t="str">
        <x:v>trace_net_table_detector_overlay_verdict_ingest_v1_quality.py</x:v>
      </x:c>
      <x:c r="D478" s="69" t="str">
        <x:v>ingestion</x:v>
      </x:c>
      <x:c r="E478" s="69" t="str">
        <x:v>tables</x:v>
      </x:c>
      <x:c r="F478" s="69" t="str">
        <x:v>tables</x:v>
      </x:c>
      <x:c r="G478" s="69" t="str">
        <x:v>src/trace_net/tables/quality/</x:v>
      </x:c>
      <x:c r="H478" s="69" t="str">
        <x:v>src/trace_net/tables/quality/trace_net_table_detector_overlay_verdict_ingest_v1_quality.py</x:v>
      </x:c>
      <x:c r="I478" s="69" t="str">
        <x:v>quality validator module</x:v>
      </x:c>
      <x:c r="J478" s="69" t="str">
        <x:v>MOVE_WITH_IMPORT_UPDATES_AND_COMPATIBILITY_WRAPPER</x:v>
      </x:c>
      <x:c r="K478" s="70" t="b">
        <x:v>1</x:v>
      </x:c>
      <x:c r="L478" s="70" t="b">
        <x:v>0</x:v>
      </x:c>
      <x:c r="M478" s="70" t="b">
        <x:v>1</x:v>
      </x:c>
      <x:c r="N478" s="69" t="n">
        <x:v>2</x:v>
      </x:c>
      <x:c r="O478" s="69" t="n">
        <x:v>0</x:v>
      </x:c>
      <x:c r="P478" s="69" t="str">
        <x:v>scripts/check_trace_net_table_detector_overlay_verdict_ingest_v1_quality.py; tests/unit/test_trace_net_table_detector_overlay_verdict_ingest_v1_quality.py</x:v>
      </x:c>
      <x:c r="Q478" s="71" t="n">
        <x:v>0.97</x:v>
      </x:c>
      <x:c r="R478" s="69" t="str">
        <x:v>table pipeline naming</x:v>
      </x:c>
      <x:c r="S478" s="69" t="str">
        <x:v>Quality logic is reusable source code for the tables stage.</x:v>
      </x:c>
      <x:c r="T478" s="69" t="str">
        <x:v>Update test and script imports; retain the old tiff import as a thin wrapper until PASS.</x:v>
      </x:c>
      <x:c r="U478" s="69" t="str"/>
      <x:c r="V478" s="69" t="str"/>
      <x:c r="W478" s="69" t="str"/>
      <x:c r="X478" s="72" t="n">
        <x:v>6021</x:v>
      </x:c>
      <x:c r="Y478" s="70" t="b">
        <x:v>1</x:v>
      </x:c>
      <x:c r="Z478" s="69" t="str">
        <x:v>Compatibility required</x:v>
      </x:c>
      <x:c r="AA478" s="69" t="str">
        <x:v>https://github.com/jwild2027/heico-ai-internship-summer-2026/blob/srv/tiff/trace_net_table_detector_overlay_verdict_ingest_v1_quality.py</x:v>
      </x:c>
      <x:c r="AB478" s="69" t="str">
        <x:v>shared &lt;= string:schema; ingestion &lt;= path:ingest, path:tiff, string:ingest; tables &lt;= path:table, string:table; embeddings &lt;= string:qdrant; retrieval &lt;= string:opensearch; referenced_by_count=2</x:v>
      </x:c>
    </x:row>
    <x:row r="479">
      <x:c r="A479" s="68" t="n">
        <x:v>478</x:v>
      </x:c>
      <x:c r="B479" s="69" t="str">
        <x:v>tiff/trace_net_table_exact_search_adapter_v1.py</x:v>
      </x:c>
      <x:c r="C479" s="69" t="str">
        <x:v>trace_net_table_exact_search_adapter_v1.py</x:v>
      </x:c>
      <x:c r="D479" s="69" t="str">
        <x:v>tables</x:v>
      </x:c>
      <x:c r="E479" s="69" t="str">
        <x:v>retrieval, benchmarks, ingestion, context</x:v>
      </x:c>
      <x:c r="F479" s="69" t="str">
        <x:v>tables</x:v>
      </x:c>
      <x:c r="G479" s="69" t="str">
        <x:v>src/trace_net/tables/</x:v>
      </x:c>
      <x:c r="H479" s="69" t="str">
        <x:v>src/trace_net/tables/trace_net_table_exact_search_adapter_v1.py</x:v>
      </x:c>
      <x:c r="I479" s="69" t="str">
        <x:v>active library module</x:v>
      </x:c>
      <x:c r="J479" s="69" t="str">
        <x:v>MOVE_WITH_IMPORT_UPDATES_AND_COMPATIBILITY_WRAPPER</x:v>
      </x:c>
      <x:c r="K479" s="70" t="b">
        <x:v>1</x:v>
      </x:c>
      <x:c r="L479" s="70" t="b">
        <x:v>0</x:v>
      </x:c>
      <x:c r="M479" s="70" t="b">
        <x:v>1</x:v>
      </x:c>
      <x:c r="N479" s="69" t="n">
        <x:v>3</x:v>
      </x:c>
      <x:c r="O479" s="69" t="n">
        <x:v>0</x:v>
      </x:c>
      <x:c r="P479" s="69" t="str">
        <x:v>scripts/build_trace_net_table_exact_search_adapter_v1.py; scripts/check_trace_net_table_exact_search_adapter_v1_quality.py; tests/unit/test_trace_net_table_exact_search_adapter_v1.py</x:v>
      </x:c>
      <x:c r="Q479" s="71" t="n">
        <x:v>0.95</x:v>
      </x:c>
      <x:c r="R479" s="69" t="str">
        <x:v>table pipeline naming</x:v>
      </x:c>
      <x:c r="S479" s="69" t="str">
        <x:v>Primary implementation belongs to the tables stage based on filename, imports, and inventory evidence.</x:v>
      </x:c>
      <x:c r="T479" s="69" t="str">
        <x:v>Update imports and retain the old tiff module as a wrapper when callers exist.</x:v>
      </x:c>
      <x:c r="U479" s="69" t="str"/>
      <x:c r="V479" s="69" t="str"/>
      <x:c r="W479" s="69" t="str"/>
      <x:c r="X479" s="72" t="n">
        <x:v>27350</x:v>
      </x:c>
      <x:c r="Y479" s="70" t="b">
        <x:v>1</x:v>
      </x:c>
      <x:c r="Z479" s="69" t="str">
        <x:v>Compatibility required</x:v>
      </x:c>
      <x:c r="AA479" s="69" t="str">
        <x:v>https://github.com/jwild2027/heico-ai-internship-summer-2026/blob/srv/tiff/trace_net_table_exact_search_adapter_v1.py</x:v>
      </x:c>
      <x:c r="AB479" s="69" t="str">
        <x:v>shared &lt;= symbol:common; ingestion &lt;= path:tiff; ocr &lt;= string:ocr; tables &lt;= path:table, symbol:table, string:ipl, string:table; embeddings &lt;= string:qdrant; retrieval &lt;= symbol:opensearch, string:opensearch, string:retriev</x:v>
      </x:c>
    </x:row>
    <x:row r="480">
      <x:c r="A480" s="68" t="n">
        <x:v>479</x:v>
      </x:c>
      <x:c r="B480" s="69" t="str">
        <x:v>tiff/trace_net_table_exact_search_smoke_v1.py</x:v>
      </x:c>
      <x:c r="C480" s="69" t="str">
        <x:v>trace_net_table_exact_search_smoke_v1.py</x:v>
      </x:c>
      <x:c r="D480" s="69" t="str">
        <x:v>benchmarks</x:v>
      </x:c>
      <x:c r="E480" s="69" t="str">
        <x:v>tables</x:v>
      </x:c>
      <x:c r="F480" s="69" t="str">
        <x:v>tables</x:v>
      </x:c>
      <x:c r="G480" s="69" t="str">
        <x:v>src/trace_net/tables/</x:v>
      </x:c>
      <x:c r="H480" s="69" t="str">
        <x:v>src/trace_net/tables/trace_net_table_exact_search_smoke_v1.py</x:v>
      </x:c>
      <x:c r="I480" s="69" t="str">
        <x:v>active library module</x:v>
      </x:c>
      <x:c r="J480" s="69" t="str">
        <x:v>MOVE_WITH_IMPORT_UPDATES_AND_COMPATIBILITY_WRAPPER</x:v>
      </x:c>
      <x:c r="K480" s="70" t="b">
        <x:v>1</x:v>
      </x:c>
      <x:c r="L480" s="70" t="b">
        <x:v>0</x:v>
      </x:c>
      <x:c r="M480" s="70" t="b">
        <x:v>1</x:v>
      </x:c>
      <x:c r="N480" s="69" t="n">
        <x:v>3</x:v>
      </x:c>
      <x:c r="O480" s="69" t="n">
        <x:v>0</x:v>
      </x:c>
      <x:c r="P480" s="69" t="str">
        <x:v>scripts/build_trace_net_table_exact_search_smoke_v1.py; scripts/check_trace_net_table_exact_search_smoke_v1_quality.py; tests/unit/test_trace_net_table_exact_search_smoke_v1.py</x:v>
      </x:c>
      <x:c r="Q480" s="71" t="n">
        <x:v>0.95</x:v>
      </x:c>
      <x:c r="R480" s="69" t="str">
        <x:v>table pipeline naming</x:v>
      </x:c>
      <x:c r="S480" s="69" t="str">
        <x:v>Primary implementation belongs to the tables stage based on filename, imports, and inventory evidence.</x:v>
      </x:c>
      <x:c r="T480" s="69" t="str">
        <x:v>Update imports and retain the old tiff module as a wrapper when callers exist.</x:v>
      </x:c>
      <x:c r="U480" s="69" t="str"/>
      <x:c r="V480" s="69" t="str"/>
      <x:c r="W480" s="69" t="str"/>
      <x:c r="X480" s="72" t="n">
        <x:v>22497</x:v>
      </x:c>
      <x:c r="Y480" s="70" t="b">
        <x:v>1</x:v>
      </x:c>
      <x:c r="Z480" s="69" t="str">
        <x:v>Compatibility required</x:v>
      </x:c>
      <x:c r="AA480" s="69" t="str">
        <x:v>https://github.com/jwild2027/heico-ai-internship-summer-2026/blob/srv/tiff/trace_net_table_exact_search_smoke_v1.py</x:v>
      </x:c>
      <x:c r="AB480" s="69" t="str">
        <x:v>shared &lt;= symbol:common; ingestion &lt;= path:tiff; tables &lt;= path:table, symbol:table, string:ipl, string:table; embeddings &lt;= string:qdrant; retrieval &lt;= symbol:retriev, string:opensearch, string:retriev; serving &lt;= string:serve, string:sse</x:v>
      </x:c>
    </x:row>
    <x:row r="481">
      <x:c r="A481" s="68" t="n">
        <x:v>480</x:v>
      </x:c>
      <x:c r="B481" s="69" t="str">
        <x:v>tiff/trace_net_table_extraction_bbox_overlay_export_v1.py</x:v>
      </x:c>
      <x:c r="C481" s="69" t="str">
        <x:v>trace_net_table_extraction_bbox_overlay_export_v1.py</x:v>
      </x:c>
      <x:c r="D481" s="69" t="str">
        <x:v>tables</x:v>
      </x:c>
      <x:c r="E481" s="69" t="str">
        <x:v>ingestion</x:v>
      </x:c>
      <x:c r="F481" s="69" t="str">
        <x:v>tables</x:v>
      </x:c>
      <x:c r="G481" s="69" t="str">
        <x:v>src/trace_net/tables/</x:v>
      </x:c>
      <x:c r="H481" s="69" t="str">
        <x:v>src/trace_net/tables/trace_net_table_extraction_bbox_overlay_export_v1.py</x:v>
      </x:c>
      <x:c r="I481" s="69" t="str">
        <x:v>artifact builder implementation</x:v>
      </x:c>
      <x:c r="J481" s="69" t="str">
        <x:v>MOVE_WITH_IMPORT_UPDATES_AND_COMPATIBILITY_WRAPPER</x:v>
      </x:c>
      <x:c r="K481" s="70" t="b">
        <x:v>1</x:v>
      </x:c>
      <x:c r="L481" s="70" t="b">
        <x:v>0</x:v>
      </x:c>
      <x:c r="M481" s="70" t="b">
        <x:v>1</x:v>
      </x:c>
      <x:c r="N481" s="69" t="n">
        <x:v>4</x:v>
      </x:c>
      <x:c r="O481" s="69" t="n">
        <x:v>0</x:v>
      </x:c>
      <x:c r="P481" s="69" t="str">
        <x:v>scripts/build_trace_net_table_extraction_bbox_overlay_export_v1.py; scripts/check_trace_net_table_extraction_bbox_overlay_export_v1_quality.py; tests/unit/test_trace_net_table_extraction_bbox_overlay_export_v1.py; tests/unit/test_trace_net_table_extraction_bbox_overlay_export_v1_quality.py</x:v>
      </x:c>
      <x:c r="Q481" s="71" t="n">
        <x:v>0.96</x:v>
      </x:c>
      <x:c r="R481" s="69" t="str">
        <x:v>table pipeline naming</x:v>
      </x:c>
      <x:c r="S481" s="69" t="str">
        <x:v>Build implementation is imported by active wrappers/tests and belongs to the tables package.</x:v>
      </x:c>
      <x:c r="T481" s="69" t="str">
        <x:v>Update wrapper imports and compare generated artifact counts/checksums.</x:v>
      </x:c>
      <x:c r="U481" s="69" t="str"/>
      <x:c r="V481" s="69" t="str">
        <x:v>TRACE_NET_TABLE_EXTRACTION_BBOX_OVERLAY_EXPORT_BUILT, TRACE_NET_TABLE_EXTRACTION_BBOX_OVERLAY_EXPORT_NOT_READY</x:v>
      </x:c>
      <x:c r="W481" s="69" t="str"/>
      <x:c r="X481" s="72" t="n">
        <x:v>22659</x:v>
      </x:c>
      <x:c r="Y481" s="70" t="b">
        <x:v>1</x:v>
      </x:c>
      <x:c r="Z481" s="69" t="str">
        <x:v>Compatibility required</x:v>
      </x:c>
      <x:c r="AA481" s="69" t="str">
        <x:v>https://github.com/jwild2027/heico-ai-internship-summer-2026/blob/srv/tiff/trace_net_table_extraction_bbox_overlay_export_v1.py</x:v>
      </x:c>
      <x:c r="AB481" s="69" t="str">
        <x:v>shared &lt;= string:schema; ingestion &lt;= path:tiff, string:page_image, string:tiff; visual &lt;= string:visual; tables &lt;= path:table, symbol:table, string:table, environment:table; embeddings &lt;= string:qdrant; retrieval &lt;= string:opensearch</x:v>
      </x:c>
    </x:row>
    <x:row r="482">
      <x:c r="A482" s="68" t="n">
        <x:v>481</x:v>
      </x:c>
      <x:c r="B482" s="69" t="str">
        <x:v>tiff/trace_net_table_full_enclosure_bbox_overlay_export_v1.py</x:v>
      </x:c>
      <x:c r="C482" s="69" t="str">
        <x:v>trace_net_table_full_enclosure_bbox_overlay_export_v1.py</x:v>
      </x:c>
      <x:c r="D482" s="69" t="str">
        <x:v>tables</x:v>
      </x:c>
      <x:c r="E482" s="69" t="str">
        <x:v>ingestion</x:v>
      </x:c>
      <x:c r="F482" s="69" t="str">
        <x:v>tables</x:v>
      </x:c>
      <x:c r="G482" s="69" t="str">
        <x:v>src/trace_net/tables/</x:v>
      </x:c>
      <x:c r="H482" s="69" t="str">
        <x:v>src/trace_net/tables/trace_net_table_full_enclosure_bbox_overlay_export_v1.py</x:v>
      </x:c>
      <x:c r="I482" s="69" t="str">
        <x:v>artifact builder implementation</x:v>
      </x:c>
      <x:c r="J482" s="69" t="str">
        <x:v>MOVE_WITH_IMPORT_UPDATES_AND_COMPATIBILITY_WRAPPER</x:v>
      </x:c>
      <x:c r="K482" s="70" t="b">
        <x:v>1</x:v>
      </x:c>
      <x:c r="L482" s="70" t="b">
        <x:v>0</x:v>
      </x:c>
      <x:c r="M482" s="70" t="b">
        <x:v>1</x:v>
      </x:c>
      <x:c r="N482" s="69" t="n">
        <x:v>4</x:v>
      </x:c>
      <x:c r="O482" s="69" t="n">
        <x:v>0</x:v>
      </x:c>
      <x:c r="P482" s="69" t="str">
        <x:v>scripts/build_trace_net_table_full_enclosure_bbox_overlay_export_v1.py; tests/unit/test_trace_net_table_full_enclosure_bbox_overlay_export_v1.py; tests/unit/test_trace_net_table_full_enclosure_bbox_overlay_export_v1_quality.py; tiff/trace_net_table_full_enclosure_bbox_overlay_export_v1_quality.py</x:v>
      </x:c>
      <x:c r="Q482" s="71" t="n">
        <x:v>0.96</x:v>
      </x:c>
      <x:c r="R482" s="69" t="str">
        <x:v>table pipeline naming</x:v>
      </x:c>
      <x:c r="S482" s="69" t="str">
        <x:v>Build implementation is imported by active wrappers/tests and belongs to the tables package.</x:v>
      </x:c>
      <x:c r="T482" s="69" t="str">
        <x:v>Update wrapper imports and compare generated artifact counts/checksums.</x:v>
      </x:c>
      <x:c r="U482" s="69" t="str"/>
      <x:c r="V482" s="69" t="str"/>
      <x:c r="W482" s="69" t="str"/>
      <x:c r="X482" s="72" t="n">
        <x:v>29401</x:v>
      </x:c>
      <x:c r="Y482" s="70" t="b">
        <x:v>1</x:v>
      </x:c>
      <x:c r="Z482" s="69" t="str">
        <x:v>Compatibility required</x:v>
      </x:c>
      <x:c r="AA482" s="69" t="str">
        <x:v>https://github.com/jwild2027/heico-ai-internship-summer-2026/blob/srv/tiff/trace_net_table_full_enclosure_bbox_overlay_export_v1.py</x:v>
      </x:c>
      <x:c r="AB482" s="69" t="str">
        <x:v>shared &lt;= string:contract, string:schema; ingestion &lt;= path:tiff, string:page_image, string:tiff; visual &lt;= string:visual; tables &lt;= path:table, string:column, string:table; embeddings &lt;= string:qdrant; retrieval &lt;= string:opensearch</x:v>
      </x:c>
    </x:row>
    <x:row r="483">
      <x:c r="A483" s="68" t="n">
        <x:v>482</x:v>
      </x:c>
      <x:c r="B483" s="69" t="str">
        <x:v>tiff/trace_net_table_full_enclosure_bbox_overlay_export_v1_quality.py</x:v>
      </x:c>
      <x:c r="C483" s="69" t="str">
        <x:v>trace_net_table_full_enclosure_bbox_overlay_export_v1_quality.py</x:v>
      </x:c>
      <x:c r="D483" s="69" t="str">
        <x:v>tables</x:v>
      </x:c>
      <x:c r="E483" s="69" t="str">
        <x:v>ingestion</x:v>
      </x:c>
      <x:c r="F483" s="69" t="str">
        <x:v>tables</x:v>
      </x:c>
      <x:c r="G483" s="69" t="str">
        <x:v>src/trace_net/tables/quality/</x:v>
      </x:c>
      <x:c r="H483" s="69" t="str">
        <x:v>src/trace_net/tables/quality/trace_net_table_full_enclosure_bbox_overlay_export_v1_quality.py</x:v>
      </x:c>
      <x:c r="I483" s="69" t="str">
        <x:v>quality validator module</x:v>
      </x:c>
      <x:c r="J483" s="69" t="str">
        <x:v>MOVE_WITH_IMPORT_UPDATES_AND_COMPATIBILITY_WRAPPER</x:v>
      </x:c>
      <x:c r="K483" s="70" t="b">
        <x:v>1</x:v>
      </x:c>
      <x:c r="L483" s="70" t="b">
        <x:v>0</x:v>
      </x:c>
      <x:c r="M483" s="70" t="b">
        <x:v>1</x:v>
      </x:c>
      <x:c r="N483" s="69" t="n">
        <x:v>1</x:v>
      </x:c>
      <x:c r="O483" s="69" t="n">
        <x:v>0</x:v>
      </x:c>
      <x:c r="P483" s="69" t="str">
        <x:v>scripts/check_trace_net_table_full_enclosure_bbox_overlay_export_v1_quality.py</x:v>
      </x:c>
      <x:c r="Q483" s="71" t="n">
        <x:v>0.97</x:v>
      </x:c>
      <x:c r="R483" s="69" t="str">
        <x:v>table pipeline naming</x:v>
      </x:c>
      <x:c r="S483" s="69" t="str">
        <x:v>Quality logic is reusable source code for the tables stage.</x:v>
      </x:c>
      <x:c r="T483" s="69" t="str">
        <x:v>Update test and script imports; retain the old tiff import as a thin wrapper until PASS.</x:v>
      </x:c>
      <x:c r="U483" s="69" t="str"/>
      <x:c r="V483" s="69" t="str"/>
      <x:c r="W483" s="69" t="str"/>
      <x:c r="X483" s="72" t="n">
        <x:v>2428</x:v>
      </x:c>
      <x:c r="Y483" s="70" t="b">
        <x:v>1</x:v>
      </x:c>
      <x:c r="Z483" s="69" t="str">
        <x:v>Compatibility required</x:v>
      </x:c>
      <x:c r="AA483" s="69" t="str">
        <x:v>https://github.com/jwild2027/heico-ai-internship-summer-2026/blob/srv/tiff/trace_net_table_full_enclosure_bbox_overlay_export_v1_quality.py</x:v>
      </x:c>
      <x:c r="AB483" s="69" t="str">
        <x:v>ingestion &lt;= path:tiff, import:tiff; tables &lt;= path:table, import:table, string:table; referenced_by_count=2; imported_by_count=1</x:v>
      </x:c>
    </x:row>
    <x:row r="484">
      <x:c r="A484" s="68" t="n">
        <x:v>483</x:v>
      </x:c>
      <x:c r="B484" s="69" t="str">
        <x:v>tiff/trace_net_table_full_enclosure_bbox_reconstructor_v1.py</x:v>
      </x:c>
      <x:c r="C484" s="69" t="str">
        <x:v>trace_net_table_full_enclosure_bbox_reconstructor_v1.py</x:v>
      </x:c>
      <x:c r="D484" s="69" t="str">
        <x:v>tables</x:v>
      </x:c>
      <x:c r="E484" s="69" t="str">
        <x:v>ingestion, visual</x:v>
      </x:c>
      <x:c r="F484" s="69" t="str">
        <x:v>tables</x:v>
      </x:c>
      <x:c r="G484" s="69" t="str">
        <x:v>src/trace_net/tables/</x:v>
      </x:c>
      <x:c r="H484" s="69" t="str">
        <x:v>src/trace_net/tables/trace_net_table_full_enclosure_bbox_reconstructor_v1.py</x:v>
      </x:c>
      <x:c r="I484" s="69" t="str">
        <x:v>artifact builder implementation</x:v>
      </x:c>
      <x:c r="J484" s="69" t="str">
        <x:v>MOVE_WITH_IMPORT_UPDATES_AND_COMPATIBILITY_WRAPPER</x:v>
      </x:c>
      <x:c r="K484" s="70" t="b">
        <x:v>1</x:v>
      </x:c>
      <x:c r="L484" s="70" t="b">
        <x:v>0</x:v>
      </x:c>
      <x:c r="M484" s="70" t="b">
        <x:v>1</x:v>
      </x:c>
      <x:c r="N484" s="69" t="n">
        <x:v>3</x:v>
      </x:c>
      <x:c r="O484" s="69" t="n">
        <x:v>0</x:v>
      </x:c>
      <x:c r="P484" s="69" t="str">
        <x:v>scripts/build_trace_net_table_full_enclosure_bbox_reconstructor_v1.py; tests/unit/test_trace_net_table_full_enclosure_bbox_reconstructor_v1.py; tiff/trace_net_table_full_enclosure_bbox_reconstructor_v1_quality.py</x:v>
      </x:c>
      <x:c r="Q484" s="71" t="n">
        <x:v>0.96</x:v>
      </x:c>
      <x:c r="R484" s="69" t="str">
        <x:v>table pipeline naming</x:v>
      </x:c>
      <x:c r="S484" s="69" t="str">
        <x:v>Build implementation is imported by active wrappers/tests and belongs to the tables package.</x:v>
      </x:c>
      <x:c r="T484" s="69" t="str">
        <x:v>Update wrapper imports and compare generated artifact counts/checksums.</x:v>
      </x:c>
      <x:c r="U484" s="69" t="str"/>
      <x:c r="V484" s="69" t="str"/>
      <x:c r="W484" s="69" t="str"/>
      <x:c r="X484" s="72" t="n">
        <x:v>53530</x:v>
      </x:c>
      <x:c r="Y484" s="70" t="b">
        <x:v>1</x:v>
      </x:c>
      <x:c r="Z484" s="69" t="str">
        <x:v>Compatibility required</x:v>
      </x:c>
      <x:c r="AA484" s="69" t="str">
        <x:v>https://github.com/jwild2027/heico-ai-internship-summer-2026/blob/srv/tiff/trace_net_table_full_enclosure_bbox_reconstructor_v1.py</x:v>
      </x:c>
      <x:c r="AB484" s="69" t="str">
        <x:v>shared &lt;= string:common, string:schema; ingestion &lt;= path:tiff, string:page_image, string:tiff; ocr &lt;= string:ocr, string:paddleocr; visual &lt;= symbol:diagram, string:diagram, string:image_visual, string:visual; tables &lt;= path:table, symbol:table, string:column, string:table, string:table_row; embeddings &lt;= string:qdrant</x:v>
      </x:c>
    </x:row>
    <x:row r="485">
      <x:c r="A485" s="68" t="n">
        <x:v>484</x:v>
      </x:c>
      <x:c r="B485" s="69" t="str">
        <x:v>tiff/trace_net_table_full_enclosure_bbox_reconstructor_v1_quality.py</x:v>
      </x:c>
      <x:c r="C485" s="69" t="str">
        <x:v>trace_net_table_full_enclosure_bbox_reconstructor_v1_quality.py</x:v>
      </x:c>
      <x:c r="D485" s="69" t="str">
        <x:v>tables</x:v>
      </x:c>
      <x:c r="E485" s="69" t="str">
        <x:v>ingestion, benchmarks</x:v>
      </x:c>
      <x:c r="F485" s="69" t="str">
        <x:v>tables</x:v>
      </x:c>
      <x:c r="G485" s="69" t="str">
        <x:v>src/trace_net/tables/quality/</x:v>
      </x:c>
      <x:c r="H485" s="69" t="str">
        <x:v>src/trace_net/tables/quality/trace_net_table_full_enclosure_bbox_reconstructor_v1_quality.py</x:v>
      </x:c>
      <x:c r="I485" s="69" t="str">
        <x:v>quality validator module</x:v>
      </x:c>
      <x:c r="J485" s="69" t="str">
        <x:v>MOVE_WITH_IMPORT_UPDATES_AND_COMPATIBILITY_WRAPPER</x:v>
      </x:c>
      <x:c r="K485" s="70" t="b">
        <x:v>1</x:v>
      </x:c>
      <x:c r="L485" s="70" t="b">
        <x:v>0</x:v>
      </x:c>
      <x:c r="M485" s="70" t="b">
        <x:v>1</x:v>
      </x:c>
      <x:c r="N485" s="69" t="n">
        <x:v>2</x:v>
      </x:c>
      <x:c r="O485" s="69" t="n">
        <x:v>0</x:v>
      </x:c>
      <x:c r="P485" s="69" t="str">
        <x:v>scripts/check_trace_net_table_full_enclosure_bbox_reconstructor_v1_quality.py; tests/unit/test_trace_net_table_full_enclosure_bbox_reconstructor_v1_quality.py</x:v>
      </x:c>
      <x:c r="Q485" s="71" t="n">
        <x:v>0.97</x:v>
      </x:c>
      <x:c r="R485" s="69" t="str">
        <x:v>table pipeline naming</x:v>
      </x:c>
      <x:c r="S485" s="69" t="str">
        <x:v>Quality logic is reusable source code for the tables stage.</x:v>
      </x:c>
      <x:c r="T485" s="69" t="str">
        <x:v>Update test and script imports; retain the old tiff import as a thin wrapper until PASS.</x:v>
      </x:c>
      <x:c r="U485" s="69" t="str"/>
      <x:c r="V485" s="69" t="str"/>
      <x:c r="W485" s="69" t="str"/>
      <x:c r="X485" s="72" t="n">
        <x:v>4331</x:v>
      </x:c>
      <x:c r="Y485" s="70" t="b">
        <x:v>1</x:v>
      </x:c>
      <x:c r="Z485" s="69" t="str">
        <x:v>Compatibility required</x:v>
      </x:c>
      <x:c r="AA485" s="69" t="str">
        <x:v>https://github.com/jwild2027/heico-ai-internship-summer-2026/blob/srv/tiff/trace_net_table_full_enclosure_bbox_reconstructor_v1_quality.py</x:v>
      </x:c>
      <x:c r="AB485" s="69" t="str">
        <x:v>shared &lt;= string:helper, string:schema; ingestion &lt;= path:tiff, import:tiff; visual &lt;= string:diagram; tables &lt;= path:table, import:table, string:column, string:table; embeddings &lt;= string:qdrant; retrieval &lt;= string:opensearch</x:v>
      </x:c>
    </x:row>
    <x:row r="486">
      <x:c r="A486" s="68" t="n">
        <x:v>485</x:v>
      </x:c>
      <x:c r="B486" s="69" t="str">
        <x:v>tiff/trace_net_table_full_region_recovery_v1.py</x:v>
      </x:c>
      <x:c r="C486" s="69" t="str">
        <x:v>trace_net_table_full_region_recovery_v1.py</x:v>
      </x:c>
      <x:c r="D486" s="69" t="str">
        <x:v>tables</x:v>
      </x:c>
      <x:c r="E486" s="69" t="str">
        <x:v>ingestion, benchmarks</x:v>
      </x:c>
      <x:c r="F486" s="69" t="str">
        <x:v>tables</x:v>
      </x:c>
      <x:c r="G486" s="69" t="str">
        <x:v>src/trace_net/tables/</x:v>
      </x:c>
      <x:c r="H486" s="69" t="str">
        <x:v>src/trace_net/tables/trace_net_table_full_region_recovery_v1.py</x:v>
      </x:c>
      <x:c r="I486" s="69" t="str">
        <x:v>active library module</x:v>
      </x:c>
      <x:c r="J486" s="69" t="str">
        <x:v>MOVE_WITH_IMPORT_UPDATES_AND_COMPATIBILITY_WRAPPER</x:v>
      </x:c>
      <x:c r="K486" s="70" t="b">
        <x:v>1</x:v>
      </x:c>
      <x:c r="L486" s="70" t="b">
        <x:v>0</x:v>
      </x:c>
      <x:c r="M486" s="70" t="b">
        <x:v>1</x:v>
      </x:c>
      <x:c r="N486" s="69" t="n">
        <x:v>4</x:v>
      </x:c>
      <x:c r="O486" s="69" t="n">
        <x:v>0</x:v>
      </x:c>
      <x:c r="P486" s="69" t="str">
        <x:v>scripts/build_trace_net_table_full_region_recovery_v1.py; tests/unit/test_trace_net_table_full_region_recovery_v1.py; tests/unit/test_trace_net_table_full_region_recovery_v1_quality.py; tiff/trace_net_table_full_region_recovery_v1_quality.py</x:v>
      </x:c>
      <x:c r="Q486" s="71" t="n">
        <x:v>0.95</x:v>
      </x:c>
      <x:c r="R486" s="69" t="str">
        <x:v>table pipeline naming</x:v>
      </x:c>
      <x:c r="S486" s="69" t="str">
        <x:v>Primary implementation belongs to the tables stage based on filename, imports, and inventory evidence.</x:v>
      </x:c>
      <x:c r="T486" s="69" t="str">
        <x:v>Update imports and retain the old tiff module as a wrapper when callers exist.</x:v>
      </x:c>
      <x:c r="U486" s="69" t="str"/>
      <x:c r="V486" s="69" t="str"/>
      <x:c r="W486" s="69" t="str"/>
      <x:c r="X486" s="72" t="n">
        <x:v>32314</x:v>
      </x:c>
      <x:c r="Y486" s="70" t="b">
        <x:v>1</x:v>
      </x:c>
      <x:c r="Z486" s="69" t="str">
        <x:v>Compatibility required</x:v>
      </x:c>
      <x:c r="AA486" s="69" t="str">
        <x:v>https://github.com/jwild2027/heico-ai-internship-summer-2026/blob/srv/tiff/trace_net_table_full_region_recovery_v1.py</x:v>
      </x:c>
      <x:c r="AB486" s="69" t="str">
        <x:v>shared &lt;= string:schema; ingestion &lt;= path:tiff; ocr &lt;= string:ocr; tables &lt;= path:table, symbol:table, string:table; embeddings &lt;= string:qdrant; retrieval &lt;= string:opensearch, string:retriev</x:v>
      </x:c>
    </x:row>
    <x:row r="487">
      <x:c r="A487" s="68" t="n">
        <x:v>486</x:v>
      </x:c>
      <x:c r="B487" s="69" t="str">
        <x:v>tiff/trace_net_table_full_region_recovery_v1_quality.py</x:v>
      </x:c>
      <x:c r="C487" s="69" t="str">
        <x:v>trace_net_table_full_region_recovery_v1_quality.py</x:v>
      </x:c>
      <x:c r="D487" s="69" t="str">
        <x:v>tables</x:v>
      </x:c>
      <x:c r="E487" s="69" t="str">
        <x:v>ingestion</x:v>
      </x:c>
      <x:c r="F487" s="69" t="str">
        <x:v>tables</x:v>
      </x:c>
      <x:c r="G487" s="69" t="str">
        <x:v>src/trace_net/tables/quality/</x:v>
      </x:c>
      <x:c r="H487" s="69" t="str">
        <x:v>src/trace_net/tables/quality/trace_net_table_full_region_recovery_v1_quality.py</x:v>
      </x:c>
      <x:c r="I487" s="69" t="str">
        <x:v>quality validator module</x:v>
      </x:c>
      <x:c r="J487" s="69" t="str">
        <x:v>MOVE_WITH_IMPORT_UPDATES_AND_COMPATIBILITY_WRAPPER</x:v>
      </x:c>
      <x:c r="K487" s="70" t="b">
        <x:v>1</x:v>
      </x:c>
      <x:c r="L487" s="70" t="b">
        <x:v>0</x:v>
      </x:c>
      <x:c r="M487" s="70" t="b">
        <x:v>1</x:v>
      </x:c>
      <x:c r="N487" s="69" t="n">
        <x:v>1</x:v>
      </x:c>
      <x:c r="O487" s="69" t="n">
        <x:v>0</x:v>
      </x:c>
      <x:c r="P487" s="69" t="str">
        <x:v>scripts/check_trace_net_table_full_region_recovery_v1_quality.py</x:v>
      </x:c>
      <x:c r="Q487" s="71" t="n">
        <x:v>0.97</x:v>
      </x:c>
      <x:c r="R487" s="69" t="str">
        <x:v>table pipeline naming</x:v>
      </x:c>
      <x:c r="S487" s="69" t="str">
        <x:v>Quality logic is reusable source code for the tables stage.</x:v>
      </x:c>
      <x:c r="T487" s="69" t="str">
        <x:v>Update test and script imports; retain the old tiff import as a thin wrapper until PASS.</x:v>
      </x:c>
      <x:c r="U487" s="69" t="str"/>
      <x:c r="V487" s="69" t="str"/>
      <x:c r="W487" s="69" t="str"/>
      <x:c r="X487" s="72" t="n">
        <x:v>4004</x:v>
      </x:c>
      <x:c r="Y487" s="70" t="b">
        <x:v>1</x:v>
      </x:c>
      <x:c r="Z487" s="69" t="str">
        <x:v>Compatibility required</x:v>
      </x:c>
      <x:c r="AA487" s="69" t="str">
        <x:v>https://github.com/jwild2027/heico-ai-internship-summer-2026/blob/srv/tiff/trace_net_table_full_region_recovery_v1_quality.py</x:v>
      </x:c>
      <x:c r="AB487" s="69" t="str">
        <x:v>ingestion &lt;= path:tiff, import:tiff; ocr &lt;= string:ocr; tables &lt;= path:table, import:table, string:table; embeddings &lt;= string:qdrant; retrieval &lt;= string:opensearch; referenced_by_count=1</x:v>
      </x:c>
    </x:row>
    <x:row r="488">
      <x:c r="A488" s="68" t="n">
        <x:v>487</x:v>
      </x:c>
      <x:c r="B488" s="69" t="str">
        <x:v>tiff/trace_net_table_geometry_review_bridge_v1.py</x:v>
      </x:c>
      <x:c r="C488" s="69" t="str">
        <x:v>trace_net_table_geometry_review_bridge_v1.py</x:v>
      </x:c>
      <x:c r="D488" s="69" t="str">
        <x:v>serving</x:v>
      </x:c>
      <x:c r="E488" s="69" t="str">
        <x:v>tables, ingestion</x:v>
      </x:c>
      <x:c r="F488" s="69" t="str">
        <x:v>tables</x:v>
      </x:c>
      <x:c r="G488" s="69" t="str">
        <x:v>src/trace_net/tables/</x:v>
      </x:c>
      <x:c r="H488" s="69" t="str">
        <x:v>src/trace_net/tables/trace_net_table_geometry_review_bridge_v1.py</x:v>
      </x:c>
      <x:c r="I488" s="69" t="str">
        <x:v>integration bridge module</x:v>
      </x:c>
      <x:c r="J488" s="69" t="str">
        <x:v>MOVE_WITH_IMPORT_UPDATES_AND_COMPATIBILITY_WRAPPER</x:v>
      </x:c>
      <x:c r="K488" s="70" t="b">
        <x:v>1</x:v>
      </x:c>
      <x:c r="L488" s="70" t="b">
        <x:v>0</x:v>
      </x:c>
      <x:c r="M488" s="70" t="b">
        <x:v>1</x:v>
      </x:c>
      <x:c r="N488" s="69" t="n">
        <x:v>4</x:v>
      </x:c>
      <x:c r="O488" s="69" t="n">
        <x:v>0</x:v>
      </x:c>
      <x:c r="P488" s="69" t="str">
        <x:v>scripts/build_trace_net_table_geometry_review_bridge_v1.py; tests/unit/test_trace_net_table_geometry_review_bridge_v1.py; tests/unit/test_trace_net_table_geometry_review_bridge_v1_quality.py; tiff/trace_net_table_geometry_review_bridge_v1_quality.py</x:v>
      </x:c>
      <x:c r="Q488" s="71" t="n">
        <x:v>0.95</x:v>
      </x:c>
      <x:c r="R488" s="69" t="str">
        <x:v>table pipeline naming</x:v>
      </x:c>
      <x:c r="S488" s="69" t="str">
        <x:v>Bridge connects the tables stage to another TRACE-Net component.</x:v>
      </x:c>
      <x:c r="T488" s="69" t="str">
        <x:v>Update both producer and consumer imports; keep old bridge module as wrapper.</x:v>
      </x:c>
      <x:c r="U488" s="69" t="str"/>
      <x:c r="V488" s="69" t="str"/>
      <x:c r="W488" s="69" t="str"/>
      <x:c r="X488" s="72" t="n">
        <x:v>27068</x:v>
      </x:c>
      <x:c r="Y488" s="70" t="b">
        <x:v>1</x:v>
      </x:c>
      <x:c r="Z488" s="69" t="str">
        <x:v>Compatibility required</x:v>
      </x:c>
      <x:c r="AA488" s="69" t="str">
        <x:v>https://github.com/jwild2027/heico-ai-internship-summer-2026/blob/srv/tiff/trace_net_table_geometry_review_bridge_v1.py</x:v>
      </x:c>
      <x:c r="AB488" s="69" t="str">
        <x:v>shared &lt;= string:contract, string:schema; ingestion &lt;= path:tiff, string:convert; tables &lt;= path:table, symbol:table, string:column, string:table, string:table_cell; graph &lt;= string:community; embeddings &lt;= string:qdrant; retrieval &lt;= string:opensearch, string:retriev</x:v>
      </x:c>
    </x:row>
    <x:row r="489">
      <x:c r="A489" s="68" t="n">
        <x:v>488</x:v>
      </x:c>
      <x:c r="B489" s="69" t="str">
        <x:v>tiff/trace_net_table_geometry_review_bridge_v1_quality.py</x:v>
      </x:c>
      <x:c r="C489" s="69" t="str">
        <x:v>trace_net_table_geometry_review_bridge_v1_quality.py</x:v>
      </x:c>
      <x:c r="D489" s="69" t="str">
        <x:v>tables</x:v>
      </x:c>
      <x:c r="E489" s="69" t="str">
        <x:v>serving, ingestion</x:v>
      </x:c>
      <x:c r="F489" s="69" t="str">
        <x:v>tables</x:v>
      </x:c>
      <x:c r="G489" s="69" t="str">
        <x:v>src/trace_net/tables/quality/</x:v>
      </x:c>
      <x:c r="H489" s="69" t="str">
        <x:v>src/trace_net/tables/quality/trace_net_table_geometry_review_bridge_v1_quality.py</x:v>
      </x:c>
      <x:c r="I489" s="69" t="str">
        <x:v>quality validator module</x:v>
      </x:c>
      <x:c r="J489" s="69" t="str">
        <x:v>MOVE_WITH_IMPORT_UPDATES_AND_COMPATIBILITY_WRAPPER</x:v>
      </x:c>
      <x:c r="K489" s="70" t="b">
        <x:v>1</x:v>
      </x:c>
      <x:c r="L489" s="70" t="b">
        <x:v>0</x:v>
      </x:c>
      <x:c r="M489" s="70" t="b">
        <x:v>1</x:v>
      </x:c>
      <x:c r="N489" s="69" t="n">
        <x:v>2</x:v>
      </x:c>
      <x:c r="O489" s="69" t="n">
        <x:v>0</x:v>
      </x:c>
      <x:c r="P489" s="69" t="str">
        <x:v>scripts/check_trace_net_table_geometry_review_bridge_v1_quality.py; tests/unit/test_trace_net_table_geometry_review_bridge_v1_quality.py</x:v>
      </x:c>
      <x:c r="Q489" s="71" t="n">
        <x:v>0.97</x:v>
      </x:c>
      <x:c r="R489" s="69" t="str">
        <x:v>table pipeline naming</x:v>
      </x:c>
      <x:c r="S489" s="69" t="str">
        <x:v>Quality logic is reusable source code for the tables stage.</x:v>
      </x:c>
      <x:c r="T489" s="69" t="str">
        <x:v>Update test and script imports; retain the old tiff import as a thin wrapper until PASS.</x:v>
      </x:c>
      <x:c r="U489" s="69" t="str"/>
      <x:c r="V489" s="69" t="str"/>
      <x:c r="W489" s="69" t="str"/>
      <x:c r="X489" s="72" t="n">
        <x:v>3138</x:v>
      </x:c>
      <x:c r="Y489" s="70" t="b">
        <x:v>1</x:v>
      </x:c>
      <x:c r="Z489" s="69" t="str">
        <x:v>Compatibility required</x:v>
      </x:c>
      <x:c r="AA489" s="69" t="str">
        <x:v>https://github.com/jwild2027/heico-ai-internship-summer-2026/blob/srv/tiff/trace_net_table_geometry_review_bridge_v1_quality.py</x:v>
      </x:c>
      <x:c r="AB489" s="69" t="str">
        <x:v>shared &lt;= string:schema; ingestion &lt;= path:tiff, import:tiff; tables &lt;= path:table, import:table, string:table; embeddings &lt;= string:qdrant; retrieval &lt;= string:opensearch; serving &lt;= path:bridge, import:bridge, string:bridge</x:v>
      </x:c>
    </x:row>
    <x:row r="490">
      <x:c r="A490" s="68" t="n">
        <x:v>489</x:v>
      </x:c>
      <x:c r="B490" s="69" t="str">
        <x:v>tiff/trace_net_table_hybrid_retrieval_bridge_v1.py</x:v>
      </x:c>
      <x:c r="C490" s="69" t="str">
        <x:v>trace_net_table_hybrid_retrieval_bridge_v1.py</x:v>
      </x:c>
      <x:c r="D490" s="69" t="str">
        <x:v>benchmarks</x:v>
      </x:c>
      <x:c r="E490" s="69" t="str">
        <x:v>tables, retrieval, serving</x:v>
      </x:c>
      <x:c r="F490" s="69" t="str">
        <x:v>tables</x:v>
      </x:c>
      <x:c r="G490" s="69" t="str">
        <x:v>src/trace_net/tables/</x:v>
      </x:c>
      <x:c r="H490" s="69" t="str">
        <x:v>src/trace_net/tables/trace_net_table_hybrid_retrieval_bridge_v1.py</x:v>
      </x:c>
      <x:c r="I490" s="69" t="str">
        <x:v>integration bridge module</x:v>
      </x:c>
      <x:c r="J490" s="69" t="str">
        <x:v>MOVE_WITH_IMPORT_UPDATES_AND_COMPATIBILITY_WRAPPER</x:v>
      </x:c>
      <x:c r="K490" s="70" t="b">
        <x:v>1</x:v>
      </x:c>
      <x:c r="L490" s="70" t="b">
        <x:v>0</x:v>
      </x:c>
      <x:c r="M490" s="70" t="b">
        <x:v>1</x:v>
      </x:c>
      <x:c r="N490" s="69" t="n">
        <x:v>3</x:v>
      </x:c>
      <x:c r="O490" s="69" t="n">
        <x:v>0</x:v>
      </x:c>
      <x:c r="P490" s="69" t="str">
        <x:v>scripts/build_trace_net_table_hybrid_retrieval_bridge_v1.py; scripts/check_trace_net_table_hybrid_retrieval_bridge_v1_quality.py; tests/unit/test_trace_net_table_hybrid_retrieval_bridge_v1.py</x:v>
      </x:c>
      <x:c r="Q490" s="71" t="n">
        <x:v>0.95</x:v>
      </x:c>
      <x:c r="R490" s="69" t="str">
        <x:v>table pipeline naming</x:v>
      </x:c>
      <x:c r="S490" s="69" t="str">
        <x:v>Bridge connects the tables stage to another TRACE-Net component.</x:v>
      </x:c>
      <x:c r="T490" s="69" t="str">
        <x:v>Update both producer and consumer imports; keep old bridge module as wrapper.</x:v>
      </x:c>
      <x:c r="U490" s="69" t="str"/>
      <x:c r="V490" s="69" t="str"/>
      <x:c r="W490" s="69" t="str"/>
      <x:c r="X490" s="72" t="n">
        <x:v>31210</x:v>
      </x:c>
      <x:c r="Y490" s="70" t="b">
        <x:v>1</x:v>
      </x:c>
      <x:c r="Z490" s="69" t="str">
        <x:v>Compatibility required</x:v>
      </x:c>
      <x:c r="AA490" s="69" t="str">
        <x:v>https://github.com/jwild2027/heico-ai-internship-summer-2026/blob/srv/tiff/trace_net_table_hybrid_retrieval_bridge_v1.py</x:v>
      </x:c>
      <x:c r="AB490" s="69" t="str">
        <x:v>shared &lt;= symbol:common; ingestion &lt;= path:tiff; tables &lt;= path:table, symbol:table, string:ipl, string:table; embeddings &lt;= string:qdrant; retrieval &lt;= path:retriev, symbol:retriev, string:opensearch, string:retriev; router &lt;= string:routing</x:v>
      </x:c>
    </x:row>
    <x:row r="491">
      <x:c r="A491" s="68" t="n">
        <x:v>490</x:v>
      </x:c>
      <x:c r="B491" s="69" t="str">
        <x:v>tiff/trace_net_table_hybrid_retrieval_integration_audit_v1.py</x:v>
      </x:c>
      <x:c r="C491" s="69" t="str">
        <x:v>trace_net_table_hybrid_retrieval_integration_audit_v1.py</x:v>
      </x:c>
      <x:c r="D491" s="69" t="str">
        <x:v>benchmarks</x:v>
      </x:c>
      <x:c r="E491" s="69" t="str">
        <x:v>tables, retrieval, serving</x:v>
      </x:c>
      <x:c r="F491" s="69" t="str">
        <x:v>tables</x:v>
      </x:c>
      <x:c r="G491" s="69" t="str">
        <x:v>src/trace_net/tables/</x:v>
      </x:c>
      <x:c r="H491" s="69" t="str">
        <x:v>src/trace_net/tables/trace_net_table_hybrid_retrieval_integration_audit_v1.py</x:v>
      </x:c>
      <x:c r="I491" s="69" t="str">
        <x:v>active library module</x:v>
      </x:c>
      <x:c r="J491" s="69" t="str">
        <x:v>MOVE_WITH_IMPORT_UPDATES_AND_COMPATIBILITY_WRAPPER</x:v>
      </x:c>
      <x:c r="K491" s="70" t="b">
        <x:v>1</x:v>
      </x:c>
      <x:c r="L491" s="70" t="b">
        <x:v>0</x:v>
      </x:c>
      <x:c r="M491" s="70" t="b">
        <x:v>1</x:v>
      </x:c>
      <x:c r="N491" s="69" t="n">
        <x:v>3</x:v>
      </x:c>
      <x:c r="O491" s="69" t="n">
        <x:v>0</x:v>
      </x:c>
      <x:c r="P491" s="69" t="str">
        <x:v>scripts/build_trace_net_table_hybrid_retrieval_integration_audit_v1.py; scripts/check_trace_net_table_hybrid_retrieval_integration_audit_v1_quality.py; tests/unit/test_trace_net_table_hybrid_retrieval_integration_audit_v1.py</x:v>
      </x:c>
      <x:c r="Q491" s="71" t="n">
        <x:v>0.95</x:v>
      </x:c>
      <x:c r="R491" s="69" t="str">
        <x:v>table pipeline naming</x:v>
      </x:c>
      <x:c r="S491" s="69" t="str">
        <x:v>Primary implementation belongs to the tables stage based on filename, imports, and inventory evidence.</x:v>
      </x:c>
      <x:c r="T491" s="69" t="str">
        <x:v>Update imports and retain the old tiff module as a wrapper when callers exist.</x:v>
      </x:c>
      <x:c r="U491" s="69" t="str"/>
      <x:c r="V491" s="69" t="str"/>
      <x:c r="W491" s="69" t="str"/>
      <x:c r="X491" s="72" t="n">
        <x:v>28009</x:v>
      </x:c>
      <x:c r="Y491" s="70" t="b">
        <x:v>1</x:v>
      </x:c>
      <x:c r="Z491" s="69" t="str">
        <x:v>Compatibility required</x:v>
      </x:c>
      <x:c r="AA491" s="69" t="str">
        <x:v>https://github.com/jwild2027/heico-ai-internship-summer-2026/blob/srv/tiff/trace_net_table_hybrid_retrieval_integration_audit_v1.py</x:v>
      </x:c>
      <x:c r="AB491" s="69" t="str">
        <x:v>shared &lt;= symbol:common, string:schema; ingestion &lt;= path:tiff; tables &lt;= path:table, symbol:table, string:ipl, string:table; embeddings &lt;= string:qdrant; retrieval &lt;= path:retriev, symbol:retriev, string:opensearch, string:retriev; router &lt;= string:routing</x:v>
      </x:c>
    </x:row>
    <x:row r="492">
      <x:c r="A492" s="68" t="n">
        <x:v>491</x:v>
      </x:c>
      <x:c r="B492" s="69" t="str">
        <x:v>tiff/trace_net_table_image_resolver_v1.py</x:v>
      </x:c>
      <x:c r="C492" s="69" t="str">
        <x:v>trace_net_table_image_resolver_v1.py</x:v>
      </x:c>
      <x:c r="D492" s="69" t="str">
        <x:v>tables</x:v>
      </x:c>
      <x:c r="E492" s="69" t="str">
        <x:v>ingestion</x:v>
      </x:c>
      <x:c r="F492" s="69" t="str">
        <x:v>tables</x:v>
      </x:c>
      <x:c r="G492" s="69" t="str">
        <x:v>src/trace_net/tables/</x:v>
      </x:c>
      <x:c r="H492" s="69" t="str">
        <x:v>src/trace_net/tables/trace_net_table_image_resolver_v1.py</x:v>
      </x:c>
      <x:c r="I492" s="69" t="str">
        <x:v>artifact builder implementation</x:v>
      </x:c>
      <x:c r="J492" s="69" t="str">
        <x:v>MOVE_WITH_IMPORT_UPDATES_AND_COMPATIBILITY_WRAPPER</x:v>
      </x:c>
      <x:c r="K492" s="70" t="b">
        <x:v>1</x:v>
      </x:c>
      <x:c r="L492" s="70" t="b">
        <x:v>0</x:v>
      </x:c>
      <x:c r="M492" s="70" t="b">
        <x:v>1</x:v>
      </x:c>
      <x:c r="N492" s="69" t="n">
        <x:v>3</x:v>
      </x:c>
      <x:c r="O492" s="69" t="n">
        <x:v>0</x:v>
      </x:c>
      <x:c r="P492" s="69" t="str">
        <x:v>scripts/build_trace_net_table_image_resolver_v1.py; tests/unit/test_trace_net_table_image_resolver_v1.py; tiff/trace_net_table_image_resolver_v1_quality.py</x:v>
      </x:c>
      <x:c r="Q492" s="71" t="n">
        <x:v>0.96</x:v>
      </x:c>
      <x:c r="R492" s="69" t="str">
        <x:v>table pipeline naming</x:v>
      </x:c>
      <x:c r="S492" s="69" t="str">
        <x:v>Build implementation is imported by active wrappers/tests and belongs to the tables package.</x:v>
      </x:c>
      <x:c r="T492" s="69" t="str">
        <x:v>Update wrapper imports and compare generated artifact counts/checksums.</x:v>
      </x:c>
      <x:c r="U492" s="69" t="str"/>
      <x:c r="V492" s="69" t="str"/>
      <x:c r="W492" s="69" t="str"/>
      <x:c r="X492" s="72" t="n">
        <x:v>28837</x:v>
      </x:c>
      <x:c r="Y492" s="70" t="b">
        <x:v>1</x:v>
      </x:c>
      <x:c r="Z492" s="69" t="str">
        <x:v>Compatibility required</x:v>
      </x:c>
      <x:c r="AA492" s="69" t="str">
        <x:v>https://github.com/jwild2027/heico-ai-internship-summer-2026/blob/srv/tiff/trace_net_table_image_resolver_v1.py</x:v>
      </x:c>
      <x:c r="AB492" s="69" t="str">
        <x:v>shared &lt;= string:contract, string:identifier, string:schema; ingestion &lt;= path:tiff, symbol:extract_page, string:page_image, string:raster, string:tiff; ocr &lt;= string:ocr; tables &lt;= path:table, symbol:table, string:table, string:table_cell; embeddings &lt;= string:qdrant; retrieval &lt;= string:opensearch, string:retriev</x:v>
      </x:c>
    </x:row>
    <x:row r="493">
      <x:c r="A493" s="68" t="n">
        <x:v>492</x:v>
      </x:c>
      <x:c r="B493" s="69" t="str">
        <x:v>tiff/trace_net_table_image_resolver_v1_quality.py</x:v>
      </x:c>
      <x:c r="C493" s="69" t="str">
        <x:v>trace_net_table_image_resolver_v1_quality.py</x:v>
      </x:c>
      <x:c r="D493" s="69" t="str">
        <x:v>tables</x:v>
      </x:c>
      <x:c r="E493" s="69" t="str">
        <x:v>ingestion</x:v>
      </x:c>
      <x:c r="F493" s="69" t="str">
        <x:v>tables</x:v>
      </x:c>
      <x:c r="G493" s="69" t="str">
        <x:v>src/trace_net/tables/quality/</x:v>
      </x:c>
      <x:c r="H493" s="69" t="str">
        <x:v>src/trace_net/tables/quality/trace_net_table_image_resolver_v1_quality.py</x:v>
      </x:c>
      <x:c r="I493" s="69" t="str">
        <x:v>quality validator module</x:v>
      </x:c>
      <x:c r="J493" s="69" t="str">
        <x:v>MOVE_WITH_IMPORT_UPDATES_AND_COMPATIBILITY_WRAPPER</x:v>
      </x:c>
      <x:c r="K493" s="70" t="b">
        <x:v>1</x:v>
      </x:c>
      <x:c r="L493" s="70" t="b">
        <x:v>0</x:v>
      </x:c>
      <x:c r="M493" s="70" t="b">
        <x:v>1</x:v>
      </x:c>
      <x:c r="N493" s="69" t="n">
        <x:v>2</x:v>
      </x:c>
      <x:c r="O493" s="69" t="n">
        <x:v>0</x:v>
      </x:c>
      <x:c r="P493" s="69" t="str">
        <x:v>scripts/check_trace_net_table_image_resolver_v1_quality.py; tests/unit/test_trace_net_table_image_resolver_v1_quality.py</x:v>
      </x:c>
      <x:c r="Q493" s="71" t="n">
        <x:v>0.97</x:v>
      </x:c>
      <x:c r="R493" s="69" t="str">
        <x:v>table pipeline naming</x:v>
      </x:c>
      <x:c r="S493" s="69" t="str">
        <x:v>Quality logic is reusable source code for the tables stage.</x:v>
      </x:c>
      <x:c r="T493" s="69" t="str">
        <x:v>Update test and script imports; retain the old tiff import as a thin wrapper until PASS.</x:v>
      </x:c>
      <x:c r="U493" s="69" t="str"/>
      <x:c r="V493" s="69" t="str"/>
      <x:c r="W493" s="69" t="str"/>
      <x:c r="X493" s="72" t="n">
        <x:v>4059</x:v>
      </x:c>
      <x:c r="Y493" s="70" t="b">
        <x:v>1</x:v>
      </x:c>
      <x:c r="Z493" s="69" t="str">
        <x:v>Compatibility required</x:v>
      </x:c>
      <x:c r="AA493" s="69" t="str">
        <x:v>https://github.com/jwild2027/heico-ai-internship-summer-2026/blob/srv/tiff/trace_net_table_image_resolver_v1_quality.py</x:v>
      </x:c>
      <x:c r="AB493" s="69" t="str">
        <x:v>shared &lt;= string:schema; ingestion &lt;= path:tiff, import:tiff; tables &lt;= path:table, import:table, string:table; embeddings &lt;= string:qdrant; retrieval &lt;= string:opensearch; referenced_by_count=1</x:v>
      </x:c>
    </x:row>
    <x:row r="494">
      <x:c r="A494" s="68" t="n">
        <x:v>493</x:v>
      </x:c>
      <x:c r="B494" s="69" t="str">
        <x:v>tiff/trace_net_table_line_geometry_route_contract_audit_v1.py</x:v>
      </x:c>
      <x:c r="C494" s="69" t="str">
        <x:v>trace_net_table_line_geometry_route_contract_audit_v1.py</x:v>
      </x:c>
      <x:c r="D494" s="69" t="str">
        <x:v>shared</x:v>
      </x:c>
      <x:c r="E494" s="69" t="str">
        <x:v>tables, ingestion</x:v>
      </x:c>
      <x:c r="F494" s="69" t="str">
        <x:v>tables</x:v>
      </x:c>
      <x:c r="G494" s="69" t="str">
        <x:v>src/trace_net/tables/</x:v>
      </x:c>
      <x:c r="H494" s="69" t="str">
        <x:v>src/trace_net/tables/trace_net_table_line_geometry_route_contract_audit_v1.py</x:v>
      </x:c>
      <x:c r="I494" s="69" t="str">
        <x:v>active library module</x:v>
      </x:c>
      <x:c r="J494" s="69" t="str">
        <x:v>MOVE_WITH_IMPORT_UPDATES_AND_COMPATIBILITY_WRAPPER</x:v>
      </x:c>
      <x:c r="K494" s="70" t="b">
        <x:v>1</x:v>
      </x:c>
      <x:c r="L494" s="70" t="b">
        <x:v>0</x:v>
      </x:c>
      <x:c r="M494" s="70" t="b">
        <x:v>1</x:v>
      </x:c>
      <x:c r="N494" s="69" t="n">
        <x:v>2</x:v>
      </x:c>
      <x:c r="O494" s="69" t="n">
        <x:v>0</x:v>
      </x:c>
      <x:c r="P494" s="69" t="str">
        <x:v>scripts/build_trace_net_table_line_geometry_route_contract_audit_v1.py; tests/unit/test_trace_net_table_line_geometry_route_contract_audit_v1.py</x:v>
      </x:c>
      <x:c r="Q494" s="71" t="n">
        <x:v>0.95</x:v>
      </x:c>
      <x:c r="R494" s="69" t="str">
        <x:v>table pipeline naming</x:v>
      </x:c>
      <x:c r="S494" s="69" t="str">
        <x:v>Primary implementation belongs to the tables stage based on filename, imports, and inventory evidence.</x:v>
      </x:c>
      <x:c r="T494" s="69" t="str">
        <x:v>Update imports and retain the old tiff module as a wrapper when callers exist.</x:v>
      </x:c>
      <x:c r="U494" s="69" t="str"/>
      <x:c r="V494" s="69" t="str">
        <x:v>TRACE_NET_TABLE_LINE_GEOMETRY_ROUTE_CONTRACT_AUDIT_BUILT, TRACE_NET_TABLE_LINE_GEOMETRY_ROUTE_CONTRACT_AUDIT_NOT_READY</x:v>
      </x:c>
      <x:c r="W494" s="69" t="str"/>
      <x:c r="X494" s="72" t="n">
        <x:v>12601</x:v>
      </x:c>
      <x:c r="Y494" s="70" t="b">
        <x:v>1</x:v>
      </x:c>
      <x:c r="Z494" s="69" t="str">
        <x:v>Compatibility required</x:v>
      </x:c>
      <x:c r="AA494" s="69" t="str">
        <x:v>https://github.com/jwild2027/heico-ai-internship-summer-2026/blob/srv/tiff/trace_net_table_line_geometry_route_contract_audit_v1.py</x:v>
      </x:c>
      <x:c r="AB494" s="69" t="str">
        <x:v>shared &lt;= path:contract, symbol:contract, import:contract, string:contract, string:schema, environment:contract; ingestion &lt;= path:tiff, import:tiff; tables &lt;= path:table, symbol:table, import:table, string:table, environment:table; embeddings &lt;= string:qdrant; retrieval &lt;= string:opensearch; router &lt;= string:routing</x:v>
      </x:c>
    </x:row>
    <x:row r="495">
      <x:c r="A495" s="68" t="n">
        <x:v>494</x:v>
      </x:c>
      <x:c r="B495" s="69" t="str">
        <x:v>tiff/trace_net_table_line_geometry_route_contract_audit_v1_quality.py</x:v>
      </x:c>
      <x:c r="C495" s="69" t="str">
        <x:v>trace_net_table_line_geometry_route_contract_audit_v1_quality.py</x:v>
      </x:c>
      <x:c r="D495" s="69" t="str">
        <x:v>shared</x:v>
      </x:c>
      <x:c r="E495" s="69" t="str">
        <x:v>tables</x:v>
      </x:c>
      <x:c r="F495" s="69" t="str">
        <x:v>tables</x:v>
      </x:c>
      <x:c r="G495" s="69" t="str">
        <x:v>src/trace_net/tables/quality/</x:v>
      </x:c>
      <x:c r="H495" s="69" t="str">
        <x:v>src/trace_net/tables/quality/trace_net_table_line_geometry_route_contract_audit_v1_quality.py</x:v>
      </x:c>
      <x:c r="I495" s="69" t="str">
        <x:v>quality validator module</x:v>
      </x:c>
      <x:c r="J495" s="69" t="str">
        <x:v>MOVE_WITH_IMPORT_UPDATES_AND_COMPATIBILITY_WRAPPER</x:v>
      </x:c>
      <x:c r="K495" s="70" t="b">
        <x:v>1</x:v>
      </x:c>
      <x:c r="L495" s="70" t="b">
        <x:v>0</x:v>
      </x:c>
      <x:c r="M495" s="70" t="b">
        <x:v>1</x:v>
      </x:c>
      <x:c r="N495" s="69" t="n">
        <x:v>4</x:v>
      </x:c>
      <x:c r="O495" s="69" t="n">
        <x:v>0</x:v>
      </x:c>
      <x:c r="P495" s="69" t="str">
        <x:v>scripts/check_trace_net_table_line_geometry_route_contract_audit_v1_quality.py; tests/unit/test_trace_net_table_line_geometry_route_contract_audit_v1.py; tests/unit/test_trace_net_table_line_geometry_route_contract_audit_v1_quality.py; tiff/trace_net_table_line_geometry_route_contract_audit_v1.py</x:v>
      </x:c>
      <x:c r="Q495" s="71" t="n">
        <x:v>0.97</x:v>
      </x:c>
      <x:c r="R495" s="69" t="str">
        <x:v>table pipeline naming</x:v>
      </x:c>
      <x:c r="S495" s="69" t="str">
        <x:v>Quality logic is reusable source code for the tables stage.</x:v>
      </x:c>
      <x:c r="T495" s="69" t="str">
        <x:v>Update test and script imports; retain the old tiff import as a thin wrapper until PASS.</x:v>
      </x:c>
      <x:c r="U495" s="69" t="str"/>
      <x:c r="V495" s="69" t="str"/>
      <x:c r="W495" s="69" t="str"/>
      <x:c r="X495" s="72" t="n">
        <x:v>4112</x:v>
      </x:c>
      <x:c r="Y495" s="70" t="b">
        <x:v>1</x:v>
      </x:c>
      <x:c r="Z495" s="69" t="str">
        <x:v>Compatibility required</x:v>
      </x:c>
      <x:c r="AA495" s="69" t="str">
        <x:v>https://github.com/jwild2027/heico-ai-internship-summer-2026/blob/srv/tiff/trace_net_table_line_geometry_route_contract_audit_v1_quality.py</x:v>
      </x:c>
      <x:c r="AB495" s="69" t="str">
        <x:v>shared &lt;= path:contract, symbol:contract, string:contract, string:schema; ingestion &lt;= path:tiff; tables &lt;= path:table, symbol:table, string:table; serving &lt;= import:sse; benchmarks &lt;= symbol:eval; referenced_by_count=2</x:v>
      </x:c>
    </x:row>
    <x:row r="496">
      <x:c r="A496" s="68" t="n">
        <x:v>495</x:v>
      </x:c>
      <x:c r="B496" s="69" t="str">
        <x:v>tiff/trace_net_table_line_geometry_v1.py</x:v>
      </x:c>
      <x:c r="C496" s="69" t="str">
        <x:v>trace_net_table_line_geometry_v1.py</x:v>
      </x:c>
      <x:c r="D496" s="69" t="str">
        <x:v>tables</x:v>
      </x:c>
      <x:c r="E496" s="69" t="str">
        <x:v>ingestion</x:v>
      </x:c>
      <x:c r="F496" s="69" t="str">
        <x:v>tables</x:v>
      </x:c>
      <x:c r="G496" s="69" t="str">
        <x:v>src/trace_net/tables/</x:v>
      </x:c>
      <x:c r="H496" s="69" t="str">
        <x:v>src/trace_net/tables/trace_net_table_line_geometry_v1.py</x:v>
      </x:c>
      <x:c r="I496" s="69" t="str">
        <x:v>active library module</x:v>
      </x:c>
      <x:c r="J496" s="69" t="str">
        <x:v>MOVE_WITH_IMPORT_UPDATES_AND_COMPATIBILITY_WRAPPER</x:v>
      </x:c>
      <x:c r="K496" s="70" t="b">
        <x:v>1</x:v>
      </x:c>
      <x:c r="L496" s="70" t="b">
        <x:v>0</x:v>
      </x:c>
      <x:c r="M496" s="70" t="b">
        <x:v>1</x:v>
      </x:c>
      <x:c r="N496" s="69" t="n">
        <x:v>12</x:v>
      </x:c>
      <x:c r="O496" s="69" t="n">
        <x:v>2</x:v>
      </x:c>
      <x:c r="P496" s="69" t="str">
        <x:v>scripts/build_trace_net_table_line_geometry_v1.py; tests/unit/test_trace_net_table_line_geometry_v1.py; tests/unit/test_trace_net_table_line_geometry_v1_bbox_resolver_crop.py; tests/unit/test_trace_net_table_line_geometry_v1_crop_completeness_guard.py; tests/unit/test_trace_net_table_line_geometry_v1_crop_scoring.py; tests/unit/test_trace_net_table_line_geometry_v1_full_region_recovery.py; tests/unit/test_trace_net_table_line_geometry_v1_image_resolver_morphology.py; tests/unit/test_trace_net_table_line_geometry_v1_margin_aware_crop_selection.py; tests/unit/test_trace_net_table_line_geometry_v1_morphology_calibration.py; tests/unit/test_trace_net_table_line_geometry_v1_table_region_crop.py; … +4 more</x:v>
      </x:c>
      <x:c r="Q496" s="71" t="n">
        <x:v>0.95</x:v>
      </x:c>
      <x:c r="R496" s="69" t="str">
        <x:v>table pipeline naming</x:v>
      </x:c>
      <x:c r="S496" s="69" t="str">
        <x:v>Primary implementation belongs to the tables stage based on filename, imports, and inventory evidence.</x:v>
      </x:c>
      <x:c r="T496" s="69" t="str">
        <x:v>Update imports and retain the old tiff module as a wrapper when callers exist.</x:v>
      </x:c>
      <x:c r="U496" s="69" t="str"/>
      <x:c r="V496" s="69" t="str"/>
      <x:c r="W496" s="69" t="str"/>
      <x:c r="X496" s="72" t="n">
        <x:v>131980</x:v>
      </x:c>
      <x:c r="Y496" s="70" t="b">
        <x:v>1</x:v>
      </x:c>
      <x:c r="Z496" s="69" t="str">
        <x:v>Compatibility required</x:v>
      </x:c>
      <x:c r="AA496" s="69" t="str">
        <x:v>https://github.com/jwild2027/heico-ai-internship-summer-2026/blob/srv/tiff/trace_net_table_line_geometry_v1.py</x:v>
      </x:c>
      <x:c r="AB496" s="69" t="str">
        <x:v>shared &lt;= symbol:common, import:contract; ingestion &lt;= path:tiff, import:tiff, string:page_image, string:tiff; ocr &lt;= string:ocr; visual &lt;= string:vision, string:visual; tables &lt;= path:table, symbol:table, string:column, string:table, string:table_cell; graph &lt;= string:nha</x:v>
      </x:c>
    </x:row>
    <x:row r="497">
      <x:c r="A497" s="68" t="n">
        <x:v>496</x:v>
      </x:c>
      <x:c r="B497" s="69" t="str">
        <x:v>tiff/trace_net_table_line_geometry_v1_quality.py</x:v>
      </x:c>
      <x:c r="C497" s="69" t="str">
        <x:v>trace_net_table_line_geometry_v1_quality.py</x:v>
      </x:c>
      <x:c r="D497" s="69" t="str">
        <x:v>tables</x:v>
      </x:c>
      <x:c r="E497" s="69" t="str">
        <x:v>ingestion, benchmarks</x:v>
      </x:c>
      <x:c r="F497" s="69" t="str">
        <x:v>tables</x:v>
      </x:c>
      <x:c r="G497" s="69" t="str">
        <x:v>src/trace_net/tables/quality/</x:v>
      </x:c>
      <x:c r="H497" s="69" t="str">
        <x:v>src/trace_net/tables/quality/trace_net_table_line_geometry_v1_quality.py</x:v>
      </x:c>
      <x:c r="I497" s="69" t="str">
        <x:v>quality validator module</x:v>
      </x:c>
      <x:c r="J497" s="69" t="str">
        <x:v>MOVE_WITH_IMPORT_UPDATES_AND_COMPATIBILITY_WRAPPER</x:v>
      </x:c>
      <x:c r="K497" s="70" t="b">
        <x:v>1</x:v>
      </x:c>
      <x:c r="L497" s="70" t="b">
        <x:v>0</x:v>
      </x:c>
      <x:c r="M497" s="70" t="b">
        <x:v>1</x:v>
      </x:c>
      <x:c r="N497" s="69" t="n">
        <x:v>2</x:v>
      </x:c>
      <x:c r="O497" s="69" t="n">
        <x:v>0</x:v>
      </x:c>
      <x:c r="P497" s="69" t="str">
        <x:v>scripts/check_trace_net_table_line_geometry_v1_quality.py; tests/unit/test_trace_net_table_line_geometry_v1_quality.py</x:v>
      </x:c>
      <x:c r="Q497" s="71" t="n">
        <x:v>0.97</x:v>
      </x:c>
      <x:c r="R497" s="69" t="str">
        <x:v>table pipeline naming</x:v>
      </x:c>
      <x:c r="S497" s="69" t="str">
        <x:v>Quality logic is reusable source code for the tables stage.</x:v>
      </x:c>
      <x:c r="T497" s="69" t="str">
        <x:v>Update test and script imports; retain the old tiff import as a thin wrapper until PASS.</x:v>
      </x:c>
      <x:c r="U497" s="69" t="str"/>
      <x:c r="V497" s="69" t="str"/>
      <x:c r="W497" s="69" t="str"/>
      <x:c r="X497" s="72" t="n">
        <x:v>8089</x:v>
      </x:c>
      <x:c r="Y497" s="70" t="b">
        <x:v>1</x:v>
      </x:c>
      <x:c r="Z497" s="69" t="str">
        <x:v>Compatibility required</x:v>
      </x:c>
      <x:c r="AA497" s="69" t="str">
        <x:v>https://github.com/jwild2027/heico-ai-internship-summer-2026/blob/srv/tiff/trace_net_table_line_geometry_v1_quality.py</x:v>
      </x:c>
      <x:c r="AB497" s="69" t="str">
        <x:v>shared &lt;= string:schema; ingestion &lt;= path:tiff, import:tiff; ocr &lt;= string:ocr; tables &lt;= path:table, import:table, string:table; embeddings &lt;= string:qdrant; retrieval &lt;= string:opensearch</x:v>
      </x:c>
    </x:row>
    <x:row r="498">
      <x:c r="A498" s="68" t="n">
        <x:v>497</x:v>
      </x:c>
      <x:c r="B498" s="69" t="str">
        <x:v>tiff/trace_net_table_margin_detector_parity_v1.py</x:v>
      </x:c>
      <x:c r="C498" s="69" t="str">
        <x:v>trace_net_table_margin_detector_parity_v1.py</x:v>
      </x:c>
      <x:c r="D498" s="69" t="str">
        <x:v>tables</x:v>
      </x:c>
      <x:c r="E498" s="69" t="str">
        <x:v>ingestion, benchmarks</x:v>
      </x:c>
      <x:c r="F498" s="69" t="str">
        <x:v>tables</x:v>
      </x:c>
      <x:c r="G498" s="69" t="str">
        <x:v>src/trace_net/tables/</x:v>
      </x:c>
      <x:c r="H498" s="69" t="str">
        <x:v>src/trace_net/tables/trace_net_table_margin_detector_parity_v1.py</x:v>
      </x:c>
      <x:c r="I498" s="69" t="str">
        <x:v>active library module</x:v>
      </x:c>
      <x:c r="J498" s="69" t="str">
        <x:v>MOVE_WITH_IMPORT_UPDATES_AND_COMPATIBILITY_WRAPPER</x:v>
      </x:c>
      <x:c r="K498" s="70" t="b">
        <x:v>1</x:v>
      </x:c>
      <x:c r="L498" s="70" t="b">
        <x:v>0</x:v>
      </x:c>
      <x:c r="M498" s="70" t="b">
        <x:v>1</x:v>
      </x:c>
      <x:c r="N498" s="69" t="n">
        <x:v>3</x:v>
      </x:c>
      <x:c r="O498" s="69" t="n">
        <x:v>0</x:v>
      </x:c>
      <x:c r="P498" s="69" t="str">
        <x:v>scripts/build_trace_net_table_margin_detector_parity_v1.py; tests/unit/test_trace_net_table_margin_detector_parity_v1_quality.py; tiff/trace_net_table_margin_detector_parity_v1_quality.py</x:v>
      </x:c>
      <x:c r="Q498" s="71" t="n">
        <x:v>0.95</x:v>
      </x:c>
      <x:c r="R498" s="69" t="str">
        <x:v>table pipeline naming</x:v>
      </x:c>
      <x:c r="S498" s="69" t="str">
        <x:v>Primary implementation belongs to the tables stage based on filename, imports, and inventory evidence.</x:v>
      </x:c>
      <x:c r="T498" s="69" t="str">
        <x:v>Update imports and retain the old tiff module as a wrapper when callers exist.</x:v>
      </x:c>
      <x:c r="U498" s="69" t="str"/>
      <x:c r="V498" s="69" t="str"/>
      <x:c r="W498" s="69" t="str"/>
      <x:c r="X498" s="72" t="n">
        <x:v>32112</x:v>
      </x:c>
      <x:c r="Y498" s="70" t="b">
        <x:v>1</x:v>
      </x:c>
      <x:c r="Z498" s="69" t="str">
        <x:v>Compatibility required</x:v>
      </x:c>
      <x:c r="AA498" s="69" t="str">
        <x:v>https://github.com/jwild2027/heico-ai-internship-summer-2026/blob/srv/tiff/trace_net_table_margin_detector_parity_v1.py</x:v>
      </x:c>
      <x:c r="AB498" s="69" t="str">
        <x:v>shared &lt;= string:contract, string:schema; ingestion &lt;= path:tiff, import:tiff; tables &lt;= path:table, symbol:table, import:table, string:table; embeddings &lt;= string:qdrant; retrieval &lt;= string:opensearch, string:retriev; serving &lt;= import:sse</x:v>
      </x:c>
    </x:row>
    <x:row r="499">
      <x:c r="A499" s="68" t="n">
        <x:v>498</x:v>
      </x:c>
      <x:c r="B499" s="69" t="str">
        <x:v>tiff/trace_net_table_margin_detector_parity_v1_quality.py</x:v>
      </x:c>
      <x:c r="C499" s="69" t="str">
        <x:v>trace_net_table_margin_detector_parity_v1_quality.py</x:v>
      </x:c>
      <x:c r="D499" s="69" t="str">
        <x:v>tables</x:v>
      </x:c>
      <x:c r="E499" s="69" t="str">
        <x:v>ingestion, benchmarks</x:v>
      </x:c>
      <x:c r="F499" s="69" t="str">
        <x:v>tables</x:v>
      </x:c>
      <x:c r="G499" s="69" t="str">
        <x:v>src/trace_net/tables/quality/</x:v>
      </x:c>
      <x:c r="H499" s="69" t="str">
        <x:v>src/trace_net/tables/quality/trace_net_table_margin_detector_parity_v1_quality.py</x:v>
      </x:c>
      <x:c r="I499" s="69" t="str">
        <x:v>quality validator module</x:v>
      </x:c>
      <x:c r="J499" s="69" t="str">
        <x:v>MOVE_WITH_IMPORT_UPDATES_AND_COMPATIBILITY_WRAPPER</x:v>
      </x:c>
      <x:c r="K499" s="70" t="b">
        <x:v>1</x:v>
      </x:c>
      <x:c r="L499" s="70" t="b">
        <x:v>0</x:v>
      </x:c>
      <x:c r="M499" s="70" t="b">
        <x:v>1</x:v>
      </x:c>
      <x:c r="N499" s="69" t="n">
        <x:v>2</x:v>
      </x:c>
      <x:c r="O499" s="69" t="n">
        <x:v>0</x:v>
      </x:c>
      <x:c r="P499" s="69" t="str">
        <x:v>scripts/check_trace_net_table_margin_detector_parity_v1_quality.py; tests/unit/test_trace_net_table_margin_detector_parity_v1_quality.py</x:v>
      </x:c>
      <x:c r="Q499" s="71" t="n">
        <x:v>0.97</x:v>
      </x:c>
      <x:c r="R499" s="69" t="str">
        <x:v>table pipeline naming</x:v>
      </x:c>
      <x:c r="S499" s="69" t="str">
        <x:v>Quality logic is reusable source code for the tables stage.</x:v>
      </x:c>
      <x:c r="T499" s="69" t="str">
        <x:v>Update test and script imports; retain the old tiff import as a thin wrapper until PASS.</x:v>
      </x:c>
      <x:c r="U499" s="69" t="str"/>
      <x:c r="V499" s="69" t="str"/>
      <x:c r="W499" s="69" t="str"/>
      <x:c r="X499" s="72" t="n">
        <x:v>4413</x:v>
      </x:c>
      <x:c r="Y499" s="70" t="b">
        <x:v>1</x:v>
      </x:c>
      <x:c r="Z499" s="69" t="str">
        <x:v>Compatibility required</x:v>
      </x:c>
      <x:c r="AA499" s="69" t="str">
        <x:v>https://github.com/jwild2027/heico-ai-internship-summer-2026/blob/srv/tiff/trace_net_table_margin_detector_parity_v1_quality.py</x:v>
      </x:c>
      <x:c r="AB499" s="69" t="str">
        <x:v>shared &lt;= string:schema; ingestion &lt;= path:tiff, import:tiff; tables &lt;= path:table, import:table, string:table; embeddings &lt;= string:qdrant; retrieval &lt;= string:opensearch; benchmarks &lt;= string:eval, string:evaluation</x:v>
      </x:c>
    </x:row>
    <x:row r="500">
      <x:c r="A500" s="68" t="n">
        <x:v>499</x:v>
      </x:c>
      <x:c r="B500" s="69" t="str">
        <x:v>tiff/trace_net_table_margin_morphology_parity_v1.py</x:v>
      </x:c>
      <x:c r="C500" s="69" t="str">
        <x:v>trace_net_table_margin_morphology_parity_v1.py</x:v>
      </x:c>
      <x:c r="D500" s="69" t="str">
        <x:v>tables</x:v>
      </x:c>
      <x:c r="E500" s="69" t="str"/>
      <x:c r="F500" s="69" t="str">
        <x:v>tables</x:v>
      </x:c>
      <x:c r="G500" s="69" t="str">
        <x:v>src/trace_net/tables/</x:v>
      </x:c>
      <x:c r="H500" s="69" t="str">
        <x:v>src/trace_net/tables/trace_net_table_margin_morphology_parity_v1.py</x:v>
      </x:c>
      <x:c r="I500" s="69" t="str">
        <x:v>active library module</x:v>
      </x:c>
      <x:c r="J500" s="69" t="str">
        <x:v>MOVE_WITH_IMPORT_UPDATES_AND_COMPATIBILITY_WRAPPER</x:v>
      </x:c>
      <x:c r="K500" s="70" t="b">
        <x:v>1</x:v>
      </x:c>
      <x:c r="L500" s="70" t="b">
        <x:v>0</x:v>
      </x:c>
      <x:c r="M500" s="70" t="b">
        <x:v>1</x:v>
      </x:c>
      <x:c r="N500" s="69" t="n">
        <x:v>5</x:v>
      </x:c>
      <x:c r="O500" s="69" t="n">
        <x:v>0</x:v>
      </x:c>
      <x:c r="P500" s="69" t="str">
        <x:v>scripts/build_trace_net_table_margin_morphology_parity_v1.py; scripts/check_trace_net_table_margin_morphology_parity_v1_quality.py; tests/unit/test_trace_net_table_margin_morphology_parity_v1.py; tests/unit/test_trace_net_table_margin_morphology_parity_v1_quality.py; tiff/trace_net_table_margin_morphology_parity_v1_quality.py</x:v>
      </x:c>
      <x:c r="Q500" s="71" t="n">
        <x:v>0.95</x:v>
      </x:c>
      <x:c r="R500" s="69" t="str">
        <x:v>table pipeline naming</x:v>
      </x:c>
      <x:c r="S500" s="69" t="str">
        <x:v>Primary implementation belongs to the tables stage based on filename, imports, and inventory evidence.</x:v>
      </x:c>
      <x:c r="T500" s="69" t="str">
        <x:v>Update imports and retain the old tiff module as a wrapper when callers exist.</x:v>
      </x:c>
      <x:c r="U500" s="69" t="str"/>
      <x:c r="V500" s="69" t="str"/>
      <x:c r="W500" s="69" t="str"/>
      <x:c r="X500" s="72" t="n">
        <x:v>20129</x:v>
      </x:c>
      <x:c r="Y500" s="70" t="b">
        <x:v>1</x:v>
      </x:c>
      <x:c r="Z500" s="69" t="str">
        <x:v>Compatibility required</x:v>
      </x:c>
      <x:c r="AA500" s="69" t="str">
        <x:v>https://github.com/jwild2027/heico-ai-internship-summer-2026/blob/srv/tiff/trace_net_table_margin_morphology_parity_v1.py</x:v>
      </x:c>
      <x:c r="AB500" s="69" t="str">
        <x:v>shared &lt;= string:contract, string:schema; ingestion &lt;= path:tiff; tables &lt;= path:table, symbol:table, string:table; embeddings &lt;= string:qdrant; retrieval &lt;= string:opensearch, string:retriev; serving &lt;= import:sse</x:v>
      </x:c>
    </x:row>
    <x:row r="501">
      <x:c r="A501" s="68" t="n">
        <x:v>500</x:v>
      </x:c>
      <x:c r="B501" s="69" t="str">
        <x:v>tiff/trace_net_table_margin_morphology_parity_v1_quality.py</x:v>
      </x:c>
      <x:c r="C501" s="69" t="str">
        <x:v>trace_net_table_margin_morphology_parity_v1_quality.py</x:v>
      </x:c>
      <x:c r="D501" s="69" t="str">
        <x:v>tables</x:v>
      </x:c>
      <x:c r="E501" s="69" t="str">
        <x:v>ingestion, benchmarks</x:v>
      </x:c>
      <x:c r="F501" s="69" t="str">
        <x:v>tables</x:v>
      </x:c>
      <x:c r="G501" s="69" t="str">
        <x:v>src/trace_net/tables/quality/</x:v>
      </x:c>
      <x:c r="H501" s="69" t="str">
        <x:v>src/trace_net/tables/quality/trace_net_table_margin_morphology_parity_v1_quality.py</x:v>
      </x:c>
      <x:c r="I501" s="69" t="str">
        <x:v>quality validator module</x:v>
      </x:c>
      <x:c r="J501" s="69" t="str">
        <x:v>MOVE_WITH_IMPORT_UPDATES_AND_COMPATIBILITY_WRAPPER</x:v>
      </x:c>
      <x:c r="K501" s="70" t="b">
        <x:v>1</x:v>
      </x:c>
      <x:c r="L501" s="70" t="b">
        <x:v>0</x:v>
      </x:c>
      <x:c r="M501" s="70" t="b">
        <x:v>1</x:v>
      </x:c>
      <x:c r="N501" s="69" t="n">
        <x:v>2</x:v>
      </x:c>
      <x:c r="O501" s="69" t="n">
        <x:v>0</x:v>
      </x:c>
      <x:c r="P501" s="69" t="str">
        <x:v>scripts/check_trace_net_table_margin_morphology_parity_v1_quality.py; tests/unit/test_trace_net_table_margin_morphology_parity_v1_quality.py</x:v>
      </x:c>
      <x:c r="Q501" s="71" t="n">
        <x:v>0.97</x:v>
      </x:c>
      <x:c r="R501" s="69" t="str">
        <x:v>table pipeline naming</x:v>
      </x:c>
      <x:c r="S501" s="69" t="str">
        <x:v>Quality logic is reusable source code for the tables stage.</x:v>
      </x:c>
      <x:c r="T501" s="69" t="str">
        <x:v>Update test and script imports; retain the old tiff import as a thin wrapper until PASS.</x:v>
      </x:c>
      <x:c r="U501" s="69" t="str"/>
      <x:c r="V501" s="69" t="str"/>
      <x:c r="W501" s="69" t="str"/>
      <x:c r="X501" s="72" t="n">
        <x:v>993</x:v>
      </x:c>
      <x:c r="Y501" s="70" t="b">
        <x:v>1</x:v>
      </x:c>
      <x:c r="Z501" s="69" t="str">
        <x:v>Compatibility required</x:v>
      </x:c>
      <x:c r="AA501" s="69" t="str">
        <x:v>https://github.com/jwild2027/heico-ai-internship-summer-2026/blob/srv/tiff/trace_net_table_margin_morphology_parity_v1_quality.py</x:v>
      </x:c>
      <x:c r="AB501" s="69" t="str">
        <x:v>shared &lt;= string:schema; ingestion &lt;= path:tiff; tables &lt;= path:table, import:table, string:table; referenced_by_count=1; imported_by_count=2</x:v>
      </x:c>
    </x:row>
    <x:row r="502">
      <x:c r="A502" s="68" t="n">
        <x:v>501</x:v>
      </x:c>
      <x:c r="B502" s="69" t="str">
        <x:v>tiff/trace_net_table_ocr_bbox_enrichment_v1.py</x:v>
      </x:c>
      <x:c r="C502" s="69" t="str">
        <x:v>trace_net_table_ocr_bbox_enrichment_v1.py</x:v>
      </x:c>
      <x:c r="D502" s="69" t="str">
        <x:v>ocr</x:v>
      </x:c>
      <x:c r="E502" s="69" t="str">
        <x:v>tables</x:v>
      </x:c>
      <x:c r="F502" s="69" t="str">
        <x:v>tables</x:v>
      </x:c>
      <x:c r="G502" s="69" t="str">
        <x:v>src/trace_net/tables/</x:v>
      </x:c>
      <x:c r="H502" s="69" t="str">
        <x:v>src/trace_net/tables/trace_net_table_ocr_bbox_enrichment_v1.py</x:v>
      </x:c>
      <x:c r="I502" s="69" t="str">
        <x:v>active library module</x:v>
      </x:c>
      <x:c r="J502" s="69" t="str">
        <x:v>MOVE_WITH_IMPORT_UPDATES_AND_COMPATIBILITY_WRAPPER</x:v>
      </x:c>
      <x:c r="K502" s="70" t="b">
        <x:v>1</x:v>
      </x:c>
      <x:c r="L502" s="70" t="b">
        <x:v>0</x:v>
      </x:c>
      <x:c r="M502" s="70" t="b">
        <x:v>1</x:v>
      </x:c>
      <x:c r="N502" s="69" t="n">
        <x:v>4</x:v>
      </x:c>
      <x:c r="O502" s="69" t="n">
        <x:v>0</x:v>
      </x:c>
      <x:c r="P502" s="69" t="str">
        <x:v>scripts/build_trace_net_table_ocr_bbox_enrichment_v1.py; tests/unit/test_trace_net_table_ocr_bbox_enrichment_v1.py; tests/unit/test_trace_net_table_ocr_bbox_enrichment_v1_quality.py; tiff/trace_net_table_ocr_bbox_enrichment_v1_quality.py</x:v>
      </x:c>
      <x:c r="Q502" s="71" t="n">
        <x:v>0.95</x:v>
      </x:c>
      <x:c r="R502" s="69" t="str">
        <x:v>table pipeline naming</x:v>
      </x:c>
      <x:c r="S502" s="69" t="str">
        <x:v>Primary implementation belongs to the tables stage based on filename, imports, and inventory evidence.</x:v>
      </x:c>
      <x:c r="T502" s="69" t="str">
        <x:v>Update imports and retain the old tiff module as a wrapper when callers exist.</x:v>
      </x:c>
      <x:c r="U502" s="69" t="str"/>
      <x:c r="V502" s="69" t="str"/>
      <x:c r="W502" s="69" t="str"/>
      <x:c r="X502" s="72" t="n">
        <x:v>53418</x:v>
      </x:c>
      <x:c r="Y502" s="70" t="b">
        <x:v>1</x:v>
      </x:c>
      <x:c r="Z502" s="69" t="str">
        <x:v>Compatibility required</x:v>
      </x:c>
      <x:c r="AA502" s="69" t="str">
        <x:v>https://github.com/jwild2027/heico-ai-internship-summer-2026/blob/srv/tiff/trace_net_table_ocr_bbox_enrichment_v1.py</x:v>
      </x:c>
      <x:c r="AB502" s="69" t="str">
        <x:v>shared &lt;= symbol:common, string:schema; ingestion &lt;= path:tiff; ocr &lt;= path:ocr, symbol:ocr, string:ocr, string:tesseract; tables &lt;= path:table, symbol:table, string:table; embeddings &lt;= string:qdrant; retrieval &lt;= string:opensearch, string:retriev</x:v>
      </x:c>
    </x:row>
    <x:row r="503">
      <x:c r="A503" s="68" t="n">
        <x:v>502</x:v>
      </x:c>
      <x:c r="B503" s="69" t="str">
        <x:v>tiff/trace_net_table_ocr_bbox_enrichment_v1_quality.py</x:v>
      </x:c>
      <x:c r="C503" s="69" t="str">
        <x:v>trace_net_table_ocr_bbox_enrichment_v1_quality.py</x:v>
      </x:c>
      <x:c r="D503" s="69" t="str">
        <x:v>ocr</x:v>
      </x:c>
      <x:c r="E503" s="69" t="str">
        <x:v>tables, ingestion</x:v>
      </x:c>
      <x:c r="F503" s="69" t="str">
        <x:v>tables</x:v>
      </x:c>
      <x:c r="G503" s="69" t="str">
        <x:v>src/trace_net/tables/quality/</x:v>
      </x:c>
      <x:c r="H503" s="69" t="str">
        <x:v>src/trace_net/tables/quality/trace_net_table_ocr_bbox_enrichment_v1_quality.py</x:v>
      </x:c>
      <x:c r="I503" s="69" t="str">
        <x:v>quality validator module</x:v>
      </x:c>
      <x:c r="J503" s="69" t="str">
        <x:v>MOVE_WITH_IMPORT_UPDATES_AND_COMPATIBILITY_WRAPPER</x:v>
      </x:c>
      <x:c r="K503" s="70" t="b">
        <x:v>1</x:v>
      </x:c>
      <x:c r="L503" s="70" t="b">
        <x:v>0</x:v>
      </x:c>
      <x:c r="M503" s="70" t="b">
        <x:v>1</x:v>
      </x:c>
      <x:c r="N503" s="69" t="n">
        <x:v>1</x:v>
      </x:c>
      <x:c r="O503" s="69" t="n">
        <x:v>0</x:v>
      </x:c>
      <x:c r="P503" s="69" t="str">
        <x:v>scripts/check_trace_net_table_ocr_bbox_enrichment_v1_quality.py</x:v>
      </x:c>
      <x:c r="Q503" s="71" t="n">
        <x:v>0.97</x:v>
      </x:c>
      <x:c r="R503" s="69" t="str">
        <x:v>table pipeline naming</x:v>
      </x:c>
      <x:c r="S503" s="69" t="str">
        <x:v>Quality logic is reusable source code for the tables stage.</x:v>
      </x:c>
      <x:c r="T503" s="69" t="str">
        <x:v>Update test and script imports; retain the old tiff import as a thin wrapper until PASS.</x:v>
      </x:c>
      <x:c r="U503" s="69" t="str"/>
      <x:c r="V503" s="69" t="str"/>
      <x:c r="W503" s="69" t="str"/>
      <x:c r="X503" s="72" t="n">
        <x:v>2484</x:v>
      </x:c>
      <x:c r="Y503" s="70" t="b">
        <x:v>1</x:v>
      </x:c>
      <x:c r="Z503" s="69" t="str">
        <x:v>Compatibility required</x:v>
      </x:c>
      <x:c r="AA503" s="69" t="str">
        <x:v>https://github.com/jwild2027/heico-ai-internship-summer-2026/blob/srv/tiff/trace_net_table_ocr_bbox_enrichment_v1_quality.py</x:v>
      </x:c>
      <x:c r="AB503" s="69" t="str">
        <x:v>ingestion &lt;= path:tiff, import:tiff; ocr &lt;= path:ocr, import:ocr, string:ocr; tables &lt;= path:table, import:table, string:table; embeddings &lt;= string:qdrant; retrieval &lt;= string:opensearch; validation &lt;= string:fallback</x:v>
      </x:c>
    </x:row>
    <x:row r="504">
      <x:c r="A504" s="68" t="n">
        <x:v>503</x:v>
      </x:c>
      <x:c r="B504" s="69" t="str">
        <x:v>tiff/trace_net_table_ocr_bbox_sidecar_generator_v1.py</x:v>
      </x:c>
      <x:c r="C504" s="69" t="str">
        <x:v>trace_net_table_ocr_bbox_sidecar_generator_v1.py</x:v>
      </x:c>
      <x:c r="D504" s="69" t="str">
        <x:v>ocr</x:v>
      </x:c>
      <x:c r="E504" s="69" t="str">
        <x:v>tables, ingestion, serving</x:v>
      </x:c>
      <x:c r="F504" s="69" t="str">
        <x:v>tables</x:v>
      </x:c>
      <x:c r="G504" s="69" t="str">
        <x:v>src/trace_net/tables/</x:v>
      </x:c>
      <x:c r="H504" s="69" t="str">
        <x:v>src/trace_net/tables/trace_net_table_ocr_bbox_sidecar_generator_v1.py</x:v>
      </x:c>
      <x:c r="I504" s="69" t="str">
        <x:v>artifact builder implementation</x:v>
      </x:c>
      <x:c r="J504" s="69" t="str">
        <x:v>MOVE_WITH_IMPORT_UPDATES_AND_COMPATIBILITY_WRAPPER</x:v>
      </x:c>
      <x:c r="K504" s="70" t="b">
        <x:v>1</x:v>
      </x:c>
      <x:c r="L504" s="70" t="b">
        <x:v>0</x:v>
      </x:c>
      <x:c r="M504" s="70" t="b">
        <x:v>1</x:v>
      </x:c>
      <x:c r="N504" s="69" t="n">
        <x:v>2</x:v>
      </x:c>
      <x:c r="O504" s="69" t="n">
        <x:v>0</x:v>
      </x:c>
      <x:c r="P504" s="69" t="str">
        <x:v>scripts/build_trace_net_table_ocr_bbox_sidecar_generator_v1.py; tests/unit/test_trace_net_table_ocr_bbox_sidecar_generator_v1.py</x:v>
      </x:c>
      <x:c r="Q504" s="71" t="n">
        <x:v>0.96</x:v>
      </x:c>
      <x:c r="R504" s="69" t="str">
        <x:v>table pipeline naming</x:v>
      </x:c>
      <x:c r="S504" s="69" t="str">
        <x:v>Build implementation is imported by active wrappers/tests and belongs to the tables package.</x:v>
      </x:c>
      <x:c r="T504" s="69" t="str">
        <x:v>Update wrapper imports and compare generated artifact counts/checksums.</x:v>
      </x:c>
      <x:c r="U504" s="69" t="str"/>
      <x:c r="V504" s="69" t="str"/>
      <x:c r="W504" s="69" t="str"/>
      <x:c r="X504" s="72" t="n">
        <x:v>37733</x:v>
      </x:c>
      <x:c r="Y504" s="70" t="b">
        <x:v>1</x:v>
      </x:c>
      <x:c r="Z504" s="69" t="str">
        <x:v>Compatibility required</x:v>
      </x:c>
      <x:c r="AA504" s="69" t="str">
        <x:v>https://github.com/jwild2027/heico-ai-internship-summer-2026/blob/srv/tiff/trace_net_table_ocr_bbox_sidecar_generator_v1.py</x:v>
      </x:c>
      <x:c r="AB504" s="69" t="str">
        <x:v>shared &lt;= string:contract, string:schema; ingestion &lt;= path:tiff, import:tiff; ocr &lt;= path:ocr, symbol:tesseract, import:ocr, string:ocr, string:psm, string:tesseract; tables &lt;= path:table, symbol:table, import:table, string:table, string:table_cell; embeddings &lt;= string:qdrant; retrieval &lt;= string:opensearch, string:retriev</x:v>
      </x:c>
    </x:row>
    <x:row r="505">
      <x:c r="A505" s="68" t="n">
        <x:v>504</x:v>
      </x:c>
      <x:c r="B505" s="69" t="str">
        <x:v>tiff/trace_net_table_ocr_bbox_sidecar_generator_v1_quality.py</x:v>
      </x:c>
      <x:c r="C505" s="69" t="str">
        <x:v>trace_net_table_ocr_bbox_sidecar_generator_v1_quality.py</x:v>
      </x:c>
      <x:c r="D505" s="69" t="str">
        <x:v>ocr</x:v>
      </x:c>
      <x:c r="E505" s="69" t="str">
        <x:v>tables, benchmarks, ingestion</x:v>
      </x:c>
      <x:c r="F505" s="69" t="str">
        <x:v>tables</x:v>
      </x:c>
      <x:c r="G505" s="69" t="str">
        <x:v>src/trace_net/tables/quality/</x:v>
      </x:c>
      <x:c r="H505" s="69" t="str">
        <x:v>src/trace_net/tables/quality/trace_net_table_ocr_bbox_sidecar_generator_v1_quality.py</x:v>
      </x:c>
      <x:c r="I505" s="69" t="str">
        <x:v>quality validator module</x:v>
      </x:c>
      <x:c r="J505" s="69" t="str">
        <x:v>MOVE_WITH_IMPORT_UPDATES_AND_COMPATIBILITY_WRAPPER</x:v>
      </x:c>
      <x:c r="K505" s="70" t="b">
        <x:v>1</x:v>
      </x:c>
      <x:c r="L505" s="70" t="b">
        <x:v>0</x:v>
      </x:c>
      <x:c r="M505" s="70" t="b">
        <x:v>1</x:v>
      </x:c>
      <x:c r="N505" s="69" t="n">
        <x:v>4</x:v>
      </x:c>
      <x:c r="O505" s="69" t="n">
        <x:v>0</x:v>
      </x:c>
      <x:c r="P505" s="69" t="str">
        <x:v>scripts/check_trace_net_table_ocr_bbox_sidecar_generator_v1_quality.py; tests/unit/test_trace_net_table_ocr_bbox_sidecar_generator_v1.py; tests/unit/test_trace_net_table_ocr_bbox_sidecar_generator_v1_quality.py; tiff/trace_net_table_ocr_bbox_sidecar_generator_v1.py</x:v>
      </x:c>
      <x:c r="Q505" s="71" t="n">
        <x:v>0.97</x:v>
      </x:c>
      <x:c r="R505" s="69" t="str">
        <x:v>table pipeline naming</x:v>
      </x:c>
      <x:c r="S505" s="69" t="str">
        <x:v>Quality logic is reusable source code for the tables stage.</x:v>
      </x:c>
      <x:c r="T505" s="69" t="str">
        <x:v>Update test and script imports; retain the old tiff import as a thin wrapper until PASS.</x:v>
      </x:c>
      <x:c r="U505" s="69" t="str"/>
      <x:c r="V505" s="69" t="str"/>
      <x:c r="W505" s="69" t="str"/>
      <x:c r="X505" s="72" t="n">
        <x:v>8231</x:v>
      </x:c>
      <x:c r="Y505" s="70" t="b">
        <x:v>1</x:v>
      </x:c>
      <x:c r="Z505" s="69" t="str">
        <x:v>Compatibility required</x:v>
      </x:c>
      <x:c r="AA505" s="69" t="str">
        <x:v>https://github.com/jwild2027/heico-ai-internship-summer-2026/blob/srv/tiff/trace_net_table_ocr_bbox_sidecar_generator_v1_quality.py</x:v>
      </x:c>
      <x:c r="AB505" s="69" t="str">
        <x:v>shared &lt;= string:schema; ingestion &lt;= path:tiff; ocr &lt;= path:ocr, string:ocr, string:tesseract; tables &lt;= path:table, string:table; embeddings &lt;= string:qdrant; retrieval &lt;= string:opensearch, string:retriev</x:v>
      </x:c>
    </x:row>
    <x:row r="506">
      <x:c r="A506" s="68" t="n">
        <x:v>505</x:v>
      </x:c>
      <x:c r="B506" s="69" t="str">
        <x:v>tiff/trace_net_table_paddle_style_bbox_resolver_v1.py</x:v>
      </x:c>
      <x:c r="C506" s="69" t="str">
        <x:v>trace_net_table_paddle_style_bbox_resolver_v1.py</x:v>
      </x:c>
      <x:c r="D506" s="69" t="str">
        <x:v>tables</x:v>
      </x:c>
      <x:c r="E506" s="69" t="str">
        <x:v>shared, ingestion</x:v>
      </x:c>
      <x:c r="F506" s="69" t="str">
        <x:v>tables</x:v>
      </x:c>
      <x:c r="G506" s="69" t="str">
        <x:v>src/trace_net/tables/</x:v>
      </x:c>
      <x:c r="H506" s="69" t="str">
        <x:v>src/trace_net/tables/trace_net_table_paddle_style_bbox_resolver_v1.py</x:v>
      </x:c>
      <x:c r="I506" s="69" t="str">
        <x:v>artifact builder implementation</x:v>
      </x:c>
      <x:c r="J506" s="69" t="str">
        <x:v>MOVE_WITH_IMPORT_UPDATES_AND_COMPATIBILITY_WRAPPER</x:v>
      </x:c>
      <x:c r="K506" s="70" t="b">
        <x:v>1</x:v>
      </x:c>
      <x:c r="L506" s="70" t="b">
        <x:v>0</x:v>
      </x:c>
      <x:c r="M506" s="70" t="b">
        <x:v>1</x:v>
      </x:c>
      <x:c r="N506" s="69" t="n">
        <x:v>4</x:v>
      </x:c>
      <x:c r="O506" s="69" t="n">
        <x:v>0</x:v>
      </x:c>
      <x:c r="P506" s="69" t="str">
        <x:v>scripts/build_trace_net_table_paddle_style_bbox_resolver_v1.py; scripts/check_trace_net_table_paddle_style_bbox_resolver_v1_quality.py; tests/unit/test_trace_net_table_paddle_style_bbox_resolver_v1.py; tests/unit/test_trace_net_table_paddle_style_bbox_resolver_v1_quality.py</x:v>
      </x:c>
      <x:c r="Q506" s="71" t="n">
        <x:v>0.96</x:v>
      </x:c>
      <x:c r="R506" s="69" t="str">
        <x:v>table pipeline naming</x:v>
      </x:c>
      <x:c r="S506" s="69" t="str">
        <x:v>Build implementation is imported by active wrappers/tests and belongs to the tables package.</x:v>
      </x:c>
      <x:c r="T506" s="69" t="str">
        <x:v>Update wrapper imports and compare generated artifact counts/checksums.</x:v>
      </x:c>
      <x:c r="U506" s="69" t="str"/>
      <x:c r="V506" s="69" t="str">
        <x:v>TRACE_NET_TABLE_PADDLE_STYLE_BBOX_RESOLVER_BUILT, TRACE_NET_TABLE_PADDLE_STYLE_BBOX_RESOLVER_NOT_READY</x:v>
      </x:c>
      <x:c r="W506" s="69" t="str"/>
      <x:c r="X506" s="72" t="n">
        <x:v>44369</x:v>
      </x:c>
      <x:c r="Y506" s="70" t="b">
        <x:v>1</x:v>
      </x:c>
      <x:c r="Z506" s="69" t="str">
        <x:v>Compatibility required</x:v>
      </x:c>
      <x:c r="AA506" s="69" t="str">
        <x:v>https://github.com/jwild2027/heico-ai-internship-summer-2026/blob/srv/tiff/trace_net_table_paddle_style_bbox_resolver_v1.py</x:v>
      </x:c>
      <x:c r="AB506" s="69" t="str">
        <x:v>shared &lt;= symbol:contract, import:contract, string:contract, string:schema; ingestion &lt;= path:tiff, import:tiff; ocr &lt;= string:ocr, string:paddleocr; tables &lt;= path:table, symbol:table, string:table, environment:table; embeddings &lt;= string:qdrant; retrieval &lt;= string:opensearch</x:v>
      </x:c>
    </x:row>
    <x:row r="507">
      <x:c r="A507" s="68" t="n">
        <x:v>506</x:v>
      </x:c>
      <x:c r="B507" s="69" t="str">
        <x:v>tiff/trace_net_table_presence_verifier_v1.py</x:v>
      </x:c>
      <x:c r="C507" s="69" t="str">
        <x:v>trace_net_table_presence_verifier_v1.py</x:v>
      </x:c>
      <x:c r="D507" s="69" t="str">
        <x:v>tables</x:v>
      </x:c>
      <x:c r="E507" s="69" t="str">
        <x:v>ingestion, visual</x:v>
      </x:c>
      <x:c r="F507" s="69" t="str">
        <x:v>tables</x:v>
      </x:c>
      <x:c r="G507" s="69" t="str">
        <x:v>src/trace_net/tables/</x:v>
      </x:c>
      <x:c r="H507" s="69" t="str">
        <x:v>src/trace_net/tables/trace_net_table_presence_verifier_v1.py</x:v>
      </x:c>
      <x:c r="I507" s="69" t="str">
        <x:v>active library module</x:v>
      </x:c>
      <x:c r="J507" s="69" t="str">
        <x:v>MOVE_WITH_IMPORT_UPDATES_AND_COMPATIBILITY_WRAPPER</x:v>
      </x:c>
      <x:c r="K507" s="70" t="b">
        <x:v>1</x:v>
      </x:c>
      <x:c r="L507" s="70" t="b">
        <x:v>0</x:v>
      </x:c>
      <x:c r="M507" s="70" t="b">
        <x:v>1</x:v>
      </x:c>
      <x:c r="N507" s="69" t="n">
        <x:v>3</x:v>
      </x:c>
      <x:c r="O507" s="69" t="n">
        <x:v>0</x:v>
      </x:c>
      <x:c r="P507" s="69" t="str">
        <x:v>scripts/build_trace_net_table_presence_verifier_v1.py; tests/unit/test_trace_net_table_presence_verifier_v1.py; tiff/trace_net_table_presence_verifier_v1_quality.py</x:v>
      </x:c>
      <x:c r="Q507" s="71" t="n">
        <x:v>0.95</x:v>
      </x:c>
      <x:c r="R507" s="69" t="str">
        <x:v>table pipeline naming</x:v>
      </x:c>
      <x:c r="S507" s="69" t="str">
        <x:v>Primary implementation belongs to the tables stage based on filename, imports, and inventory evidence.</x:v>
      </x:c>
      <x:c r="T507" s="69" t="str">
        <x:v>Update imports and retain the old tiff module as a wrapper when callers exist.</x:v>
      </x:c>
      <x:c r="U507" s="69" t="str"/>
      <x:c r="V507" s="69" t="str"/>
      <x:c r="W507" s="69" t="str"/>
      <x:c r="X507" s="72" t="n">
        <x:v>56680</x:v>
      </x:c>
      <x:c r="Y507" s="70" t="b">
        <x:v>1</x:v>
      </x:c>
      <x:c r="Z507" s="69" t="str">
        <x:v>Compatibility required</x:v>
      </x:c>
      <x:c r="AA507" s="69" t="str">
        <x:v>https://github.com/jwild2027/heico-ai-internship-summer-2026/blob/srv/tiff/trace_net_table_presence_verifier_v1.py</x:v>
      </x:c>
      <x:c r="AB507" s="69" t="str">
        <x:v>shared &lt;= string:contract, string:helper, string:identifier, string:schema; ingestion &lt;= path:tiff, string:tiff; ocr &lt;= symbol:ocr, string:ocr; visual &lt;= symbol:visual, string:diagram, string:image_visual, string:visual; tables &lt;= path:table, symbol:table, string:column, string:table, string:table_row; graph &lt;= string:graph</x:v>
      </x:c>
    </x:row>
    <x:row r="508">
      <x:c r="A508" s="68" t="n">
        <x:v>507</x:v>
      </x:c>
      <x:c r="B508" s="69" t="str">
        <x:v>tiff/trace_net_table_presence_verifier_v1_quality.py</x:v>
      </x:c>
      <x:c r="C508" s="69" t="str">
        <x:v>trace_net_table_presence_verifier_v1_quality.py</x:v>
      </x:c>
      <x:c r="D508" s="69" t="str">
        <x:v>tables</x:v>
      </x:c>
      <x:c r="E508" s="69" t="str">
        <x:v>ingestion, benchmarks</x:v>
      </x:c>
      <x:c r="F508" s="69" t="str">
        <x:v>tables</x:v>
      </x:c>
      <x:c r="G508" s="69" t="str">
        <x:v>src/trace_net/tables/quality/</x:v>
      </x:c>
      <x:c r="H508" s="69" t="str">
        <x:v>src/trace_net/tables/quality/trace_net_table_presence_verifier_v1_quality.py</x:v>
      </x:c>
      <x:c r="I508" s="69" t="str">
        <x:v>quality validator module</x:v>
      </x:c>
      <x:c r="J508" s="69" t="str">
        <x:v>MOVE_WITH_IMPORT_UPDATES_AND_COMPATIBILITY_WRAPPER</x:v>
      </x:c>
      <x:c r="K508" s="70" t="b">
        <x:v>1</x:v>
      </x:c>
      <x:c r="L508" s="70" t="b">
        <x:v>0</x:v>
      </x:c>
      <x:c r="M508" s="70" t="b">
        <x:v>1</x:v>
      </x:c>
      <x:c r="N508" s="69" t="n">
        <x:v>2</x:v>
      </x:c>
      <x:c r="O508" s="69" t="n">
        <x:v>0</x:v>
      </x:c>
      <x:c r="P508" s="69" t="str">
        <x:v>scripts/check_trace_net_table_presence_verifier_v1_quality.py; tests/unit/test_trace_net_table_presence_verifier_v1_quality.py</x:v>
      </x:c>
      <x:c r="Q508" s="71" t="n">
        <x:v>0.97</x:v>
      </x:c>
      <x:c r="R508" s="69" t="str">
        <x:v>table pipeline naming</x:v>
      </x:c>
      <x:c r="S508" s="69" t="str">
        <x:v>Quality logic is reusable source code for the tables stage.</x:v>
      </x:c>
      <x:c r="T508" s="69" t="str">
        <x:v>Update test and script imports; retain the old tiff import as a thin wrapper until PASS.</x:v>
      </x:c>
      <x:c r="U508" s="69" t="str"/>
      <x:c r="V508" s="69" t="str"/>
      <x:c r="W508" s="69" t="str"/>
      <x:c r="X508" s="72" t="n">
        <x:v>4042</x:v>
      </x:c>
      <x:c r="Y508" s="70" t="b">
        <x:v>1</x:v>
      </x:c>
      <x:c r="Z508" s="69" t="str">
        <x:v>Compatibility required</x:v>
      </x:c>
      <x:c r="AA508" s="69" t="str">
        <x:v>https://github.com/jwild2027/heico-ai-internship-summer-2026/blob/srv/tiff/trace_net_table_presence_verifier_v1_quality.py</x:v>
      </x:c>
      <x:c r="AB508" s="69" t="str">
        <x:v>shared &lt;= string:helper, string:schema; ingestion &lt;= path:tiff, import:tiff; ocr &lt;= string:ocr; visual &lt;= string:image_visual, string:visual; tables &lt;= path:table, import:table, string:table; embeddings &lt;= string:qdrant</x:v>
      </x:c>
    </x:row>
    <x:row r="509">
      <x:c r="A509" s="68" t="n">
        <x:v>508</x:v>
      </x:c>
      <x:c r="B509" s="69" t="str">
        <x:v>tiff/trace_net_table_route_cell_extractor_v1.py</x:v>
      </x:c>
      <x:c r="C509" s="69" t="str">
        <x:v>trace_net_table_route_cell_extractor_v1.py</x:v>
      </x:c>
      <x:c r="D509" s="69" t="str">
        <x:v>tables</x:v>
      </x:c>
      <x:c r="E509" s="69" t="str">
        <x:v>ingestion</x:v>
      </x:c>
      <x:c r="F509" s="69" t="str">
        <x:v>tables</x:v>
      </x:c>
      <x:c r="G509" s="69" t="str">
        <x:v>src/trace_net/tables/</x:v>
      </x:c>
      <x:c r="H509" s="69" t="str">
        <x:v>src/trace_net/tables/trace_net_table_route_cell_extractor_v1.py</x:v>
      </x:c>
      <x:c r="I509" s="69" t="str">
        <x:v>artifact builder implementation</x:v>
      </x:c>
      <x:c r="J509" s="69" t="str">
        <x:v>MOVE_WITH_IMPORT_UPDATES_AND_COMPATIBILITY_WRAPPER</x:v>
      </x:c>
      <x:c r="K509" s="70" t="b">
        <x:v>1</x:v>
      </x:c>
      <x:c r="L509" s="70" t="b">
        <x:v>0</x:v>
      </x:c>
      <x:c r="M509" s="70" t="b">
        <x:v>1</x:v>
      </x:c>
      <x:c r="N509" s="69" t="n">
        <x:v>4</x:v>
      </x:c>
      <x:c r="O509" s="69" t="n">
        <x:v>0</x:v>
      </x:c>
      <x:c r="P509" s="69" t="str">
        <x:v>scripts/build_trace_net_table_route_cell_extractor_v1.py; tests/unit/test_trace_net_table_route_cell_extractor_v1.py; tests/unit/test_trace_net_table_route_cell_extractor_v1_quality.py; tiff/trace_net_table_route_cell_extractor_v1_quality.py</x:v>
      </x:c>
      <x:c r="Q509" s="71" t="n">
        <x:v>0.96</x:v>
      </x:c>
      <x:c r="R509" s="69" t="str">
        <x:v>table pipeline naming</x:v>
      </x:c>
      <x:c r="S509" s="69" t="str">
        <x:v>Build implementation is imported by active wrappers/tests and belongs to the tables package.</x:v>
      </x:c>
      <x:c r="T509" s="69" t="str">
        <x:v>Update wrapper imports and compare generated artifact counts/checksums.</x:v>
      </x:c>
      <x:c r="U509" s="69" t="str"/>
      <x:c r="V509" s="69" t="str"/>
      <x:c r="W509" s="69" t="str"/>
      <x:c r="X509" s="72" t="n">
        <x:v>87215</x:v>
      </x:c>
      <x:c r="Y509" s="70" t="b">
        <x:v>1</x:v>
      </x:c>
      <x:c r="Z509" s="69" t="str">
        <x:v>Compatibility required</x:v>
      </x:c>
      <x:c r="AA509" s="69" t="str">
        <x:v>https://github.com/jwild2027/heico-ai-internship-summer-2026/blob/srv/tiff/trace_net_table_route_cell_extractor_v1.py</x:v>
      </x:c>
      <x:c r="AB509" s="69" t="str">
        <x:v>shared &lt;= string:contract; ingestion &lt;= path:tiff; ocr &lt;= symbol:ocr, string:ocr; visual &lt;= string:vision; tables &lt;= path:table, symbol:table, string:column, string:ipl, string:table, string:table_row; embeddings &lt;= string:qdrant</x:v>
      </x:c>
    </x:row>
    <x:row r="510">
      <x:c r="A510" s="68" t="n">
        <x:v>509</x:v>
      </x:c>
      <x:c r="B510" s="69" t="str">
        <x:v>tiff/trace_net_table_route_cell_extractor_v1_quality.py</x:v>
      </x:c>
      <x:c r="C510" s="69" t="str">
        <x:v>trace_net_table_route_cell_extractor_v1_quality.py</x:v>
      </x:c>
      <x:c r="D510" s="69" t="str">
        <x:v>tables</x:v>
      </x:c>
      <x:c r="E510" s="69" t="str">
        <x:v>ingestion</x:v>
      </x:c>
      <x:c r="F510" s="69" t="str">
        <x:v>tables</x:v>
      </x:c>
      <x:c r="G510" s="69" t="str">
        <x:v>src/trace_net/tables/quality/</x:v>
      </x:c>
      <x:c r="H510" s="69" t="str">
        <x:v>src/trace_net/tables/quality/trace_net_table_route_cell_extractor_v1_quality.py</x:v>
      </x:c>
      <x:c r="I510" s="69" t="str">
        <x:v>quality validator module</x:v>
      </x:c>
      <x:c r="J510" s="69" t="str">
        <x:v>MOVE_WITH_IMPORT_UPDATES_AND_COMPATIBILITY_WRAPPER</x:v>
      </x:c>
      <x:c r="K510" s="70" t="b">
        <x:v>1</x:v>
      </x:c>
      <x:c r="L510" s="70" t="b">
        <x:v>0</x:v>
      </x:c>
      <x:c r="M510" s="70" t="b">
        <x:v>1</x:v>
      </x:c>
      <x:c r="N510" s="69" t="n">
        <x:v>1</x:v>
      </x:c>
      <x:c r="O510" s="69" t="n">
        <x:v>0</x:v>
      </x:c>
      <x:c r="P510" s="69" t="str">
        <x:v>scripts/check_trace_net_table_route_cell_extractor_v1_quality.py</x:v>
      </x:c>
      <x:c r="Q510" s="71" t="n">
        <x:v>0.97</x:v>
      </x:c>
      <x:c r="R510" s="69" t="str">
        <x:v>table pipeline naming</x:v>
      </x:c>
      <x:c r="S510" s="69" t="str">
        <x:v>Quality logic is reusable source code for the tables stage.</x:v>
      </x:c>
      <x:c r="T510" s="69" t="str">
        <x:v>Update test and script imports; retain the old tiff import as a thin wrapper until PASS.</x:v>
      </x:c>
      <x:c r="U510" s="69" t="str"/>
      <x:c r="V510" s="69" t="str"/>
      <x:c r="W510" s="69" t="str"/>
      <x:c r="X510" s="72" t="n">
        <x:v>8859</x:v>
      </x:c>
      <x:c r="Y510" s="70" t="b">
        <x:v>1</x:v>
      </x:c>
      <x:c r="Z510" s="69" t="str">
        <x:v>Compatibility required</x:v>
      </x:c>
      <x:c r="AA510" s="69" t="str">
        <x:v>https://github.com/jwild2027/heico-ai-internship-summer-2026/blob/srv/tiff/trace_net_table_route_cell_extractor_v1_quality.py</x:v>
      </x:c>
      <x:c r="AB510" s="69" t="str">
        <x:v>shared &lt;= string:schema; ingestion &lt;= path:tiff, import:tiff; ocr &lt;= string:ocr; tables &lt;= path:table, import:table, string:column, string:ipl, string:table, string:table_cell; embeddings &lt;= string:qdrant; retrieval &lt;= string:opensearch</x:v>
      </x:c>
    </x:row>
    <x:row r="511">
      <x:c r="A511" s="68" t="n">
        <x:v>510</x:v>
      </x:c>
      <x:c r="B511" s="69" t="str">
        <x:v>tiff/trace_net_table_route_evidence_packager_v1.py</x:v>
      </x:c>
      <x:c r="C511" s="69" t="str">
        <x:v>trace_net_table_route_evidence_packager_v1.py</x:v>
      </x:c>
      <x:c r="D511" s="69" t="str">
        <x:v>tables</x:v>
      </x:c>
      <x:c r="E511" s="69" t="str">
        <x:v>context, benchmarks</x:v>
      </x:c>
      <x:c r="F511" s="69" t="str">
        <x:v>tables</x:v>
      </x:c>
      <x:c r="G511" s="69" t="str">
        <x:v>src/trace_net/tables/</x:v>
      </x:c>
      <x:c r="H511" s="69" t="str">
        <x:v>src/trace_net/tables/trace_net_table_route_evidence_packager_v1.py</x:v>
      </x:c>
      <x:c r="I511" s="69" t="str">
        <x:v>artifact builder implementation</x:v>
      </x:c>
      <x:c r="J511" s="69" t="str">
        <x:v>MOVE_WITH_IMPORT_UPDATES_AND_COMPATIBILITY_WRAPPER</x:v>
      </x:c>
      <x:c r="K511" s="70" t="b">
        <x:v>1</x:v>
      </x:c>
      <x:c r="L511" s="70" t="b">
        <x:v>0</x:v>
      </x:c>
      <x:c r="M511" s="70" t="b">
        <x:v>1</x:v>
      </x:c>
      <x:c r="N511" s="69" t="n">
        <x:v>3</x:v>
      </x:c>
      <x:c r="O511" s="69" t="n">
        <x:v>0</x:v>
      </x:c>
      <x:c r="P511" s="69" t="str">
        <x:v>scripts/build_trace_net_table_route_evidence_packager_v1.py; scripts/check_trace_net_table_route_evidence_packager_v1_quality.py; tests/unit/test_trace_net_table_route_evidence_packager_v1.py</x:v>
      </x:c>
      <x:c r="Q511" s="71" t="n">
        <x:v>0.96</x:v>
      </x:c>
      <x:c r="R511" s="69" t="str">
        <x:v>table pipeline naming</x:v>
      </x:c>
      <x:c r="S511" s="69" t="str">
        <x:v>Build implementation is imported by active wrappers/tests and belongs to the tables package.</x:v>
      </x:c>
      <x:c r="T511" s="69" t="str">
        <x:v>Update wrapper imports and compare generated artifact counts/checksums.</x:v>
      </x:c>
      <x:c r="U511" s="69" t="str"/>
      <x:c r="V511" s="69" t="str"/>
      <x:c r="W511" s="69" t="str"/>
      <x:c r="X511" s="72" t="n">
        <x:v>31283</x:v>
      </x:c>
      <x:c r="Y511" s="70" t="b">
        <x:v>1</x:v>
      </x:c>
      <x:c r="Z511" s="69" t="str">
        <x:v>Compatibility required</x:v>
      </x:c>
      <x:c r="AA511" s="69" t="str">
        <x:v>https://github.com/jwild2027/heico-ai-internship-summer-2026/blob/srv/tiff/trace_net_table_route_evidence_packager_v1.py</x:v>
      </x:c>
      <x:c r="AB511" s="69" t="str">
        <x:v>shared &lt;= string:contract, string:schema; ingestion &lt;= path:tiff; tables &lt;= path:table, symbol:table, string:column, string:ipl, string:table; embeddings &lt;= string:qdrant; retrieval &lt;= string:opensearch, string:retriev; context &lt;= path:evidence_pack, string:evidence_pack, string:source_trace</x:v>
      </x:c>
    </x:row>
    <x:row r="512">
      <x:c r="A512" s="68" t="n">
        <x:v>511</x:v>
      </x:c>
      <x:c r="B512" s="69" t="str">
        <x:v>tiff/trace_net_table_route_retrieval_demo_query_pack_v1.py</x:v>
      </x:c>
      <x:c r="C512" s="69" t="str">
        <x:v>trace_net_table_route_retrieval_demo_query_pack_v1.py</x:v>
      </x:c>
      <x:c r="D512" s="69" t="str">
        <x:v>benchmarks</x:v>
      </x:c>
      <x:c r="E512" s="69" t="str">
        <x:v>tables, retrieval, ingestion</x:v>
      </x:c>
      <x:c r="F512" s="69" t="str">
        <x:v>tables</x:v>
      </x:c>
      <x:c r="G512" s="69" t="str">
        <x:v>src/trace_net/tables/</x:v>
      </x:c>
      <x:c r="H512" s="69" t="str">
        <x:v>src/trace_net/tables/trace_net_table_route_retrieval_demo_query_pack_v1.py</x:v>
      </x:c>
      <x:c r="I512" s="69" t="str">
        <x:v>active library module</x:v>
      </x:c>
      <x:c r="J512" s="69" t="str">
        <x:v>MOVE_WITH_IMPORT_UPDATES_AND_COMPATIBILITY_WRAPPER</x:v>
      </x:c>
      <x:c r="K512" s="70" t="b">
        <x:v>1</x:v>
      </x:c>
      <x:c r="L512" s="70" t="b">
        <x:v>0</x:v>
      </x:c>
      <x:c r="M512" s="70" t="b">
        <x:v>1</x:v>
      </x:c>
      <x:c r="N512" s="69" t="n">
        <x:v>3</x:v>
      </x:c>
      <x:c r="O512" s="69" t="n">
        <x:v>1</x:v>
      </x:c>
      <x:c r="P512" s="69" t="str">
        <x:v>scripts/build_trace_net_table_route_retrieval_demo_query_pack_v1.py; scripts/check_trace_net_table_route_retrieval_demo_query_pack_v1_quality.py; tests/unit/test_trace_net_table_route_retrieval_demo_query_pack_v1.py; tests/unit/test_trace_net_table_route_retrieval_demo_query_pack_v1_script_imports.py</x:v>
      </x:c>
      <x:c r="Q512" s="71" t="n">
        <x:v>0.95</x:v>
      </x:c>
      <x:c r="R512" s="69" t="str">
        <x:v>table pipeline naming</x:v>
      </x:c>
      <x:c r="S512" s="69" t="str">
        <x:v>Primary implementation belongs to the tables stage based on filename, imports, and inventory evidence.</x:v>
      </x:c>
      <x:c r="T512" s="69" t="str">
        <x:v>Update imports and retain the old tiff module as a wrapper when callers exist.</x:v>
      </x:c>
      <x:c r="U512" s="69" t="str"/>
      <x:c r="V512" s="69" t="str"/>
      <x:c r="W512" s="69" t="str"/>
      <x:c r="X512" s="72" t="n">
        <x:v>23512</x:v>
      </x:c>
      <x:c r="Y512" s="70" t="b">
        <x:v>1</x:v>
      </x:c>
      <x:c r="Z512" s="69" t="str">
        <x:v>Compatibility required</x:v>
      </x:c>
      <x:c r="AA512" s="69" t="str">
        <x:v>https://github.com/jwild2027/heico-ai-internship-summer-2026/blob/srv/tiff/trace_net_table_route_retrieval_demo_query_pack_v1.py</x:v>
      </x:c>
      <x:c r="AB512" s="69" t="str">
        <x:v>shared &lt;= string:contract, string:schema; ingestion &lt;= path:tiff, string:inventory; visual &lt;= string:diagram, string:vision; tables &lt;= path:table, string:column, string:ipl, string:parts_list, string:table; embeddings &lt;= string:qdrant; retrieval &lt;= path:retriev, string:opensearch, string:retriev</x:v>
      </x:c>
    </x:row>
    <x:row r="513">
      <x:c r="A513" s="68" t="n">
        <x:v>512</x:v>
      </x:c>
      <x:c r="B513" s="69" t="str">
        <x:v>tiff/trace_net_table_route_retrieval_readiness_report_v1.py</x:v>
      </x:c>
      <x:c r="C513" s="69" t="str">
        <x:v>trace_net_table_route_retrieval_readiness_report_v1.py</x:v>
      </x:c>
      <x:c r="D513" s="69" t="str">
        <x:v>benchmarks</x:v>
      </x:c>
      <x:c r="E513" s="69" t="str">
        <x:v>tables, retrieval</x:v>
      </x:c>
      <x:c r="F513" s="69" t="str">
        <x:v>tables</x:v>
      </x:c>
      <x:c r="G513" s="69" t="str">
        <x:v>src/trace_net/tables/</x:v>
      </x:c>
      <x:c r="H513" s="69" t="str">
        <x:v>src/trace_net/tables/trace_net_table_route_retrieval_readiness_report_v1.py</x:v>
      </x:c>
      <x:c r="I513" s="69" t="str">
        <x:v>active library module</x:v>
      </x:c>
      <x:c r="J513" s="69" t="str">
        <x:v>MOVE_WITH_IMPORT_UPDATES_AND_COMPATIBILITY_WRAPPER</x:v>
      </x:c>
      <x:c r="K513" s="70" t="b">
        <x:v>1</x:v>
      </x:c>
      <x:c r="L513" s="70" t="b">
        <x:v>0</x:v>
      </x:c>
      <x:c r="M513" s="70" t="b">
        <x:v>1</x:v>
      </x:c>
      <x:c r="N513" s="69" t="n">
        <x:v>3</x:v>
      </x:c>
      <x:c r="O513" s="69" t="n">
        <x:v>0</x:v>
      </x:c>
      <x:c r="P513" s="69" t="str">
        <x:v>scripts/build_trace_net_table_route_retrieval_readiness_report_v1.py; scripts/check_trace_net_table_route_retrieval_readiness_report_v1_quality.py; tests/unit/test_trace_net_table_route_retrieval_readiness_report_v1.py</x:v>
      </x:c>
      <x:c r="Q513" s="71" t="n">
        <x:v>0.95</x:v>
      </x:c>
      <x:c r="R513" s="69" t="str">
        <x:v>table pipeline naming</x:v>
      </x:c>
      <x:c r="S513" s="69" t="str">
        <x:v>Primary implementation belongs to the tables stage based on filename, imports, and inventory evidence.</x:v>
      </x:c>
      <x:c r="T513" s="69" t="str">
        <x:v>Update imports and retain the old tiff module as a wrapper when callers exist.</x:v>
      </x:c>
      <x:c r="U513" s="69" t="str"/>
      <x:c r="V513" s="69" t="str"/>
      <x:c r="W513" s="69" t="str"/>
      <x:c r="X513" s="72" t="n">
        <x:v>20508</x:v>
      </x:c>
      <x:c r="Y513" s="70" t="b">
        <x:v>1</x:v>
      </x:c>
      <x:c r="Z513" s="69" t="str">
        <x:v>Compatibility required</x:v>
      </x:c>
      <x:c r="AA513" s="69" t="str">
        <x:v>https://github.com/jwild2027/heico-ai-internship-summer-2026/blob/srv/tiff/trace_net_table_route_retrieval_readiness_report_v1.py</x:v>
      </x:c>
      <x:c r="AB513" s="69" t="str">
        <x:v>shared &lt;= string:contract, string:schema; ingestion &lt;= path:tiff; tables &lt;= path:table, string:table; embeddings &lt;= string:qdrant; retrieval &lt;= path:retriev, string:opensearch, string:retriev; llm_writing &lt;= string:final_answer</x:v>
      </x:c>
    </x:row>
    <x:row r="514">
      <x:c r="A514" s="68" t="n">
        <x:v>513</x:v>
      </x:c>
      <x:c r="B514" s="69" t="str">
        <x:v>tiff/trace_net_table_route_value_audit_lep_v4_preset_v1.py</x:v>
      </x:c>
      <x:c r="C514" s="69" t="str">
        <x:v>trace_net_table_route_value_audit_lep_v4_preset_v1.py</x:v>
      </x:c>
      <x:c r="D514" s="69" t="str">
        <x:v>tables</x:v>
      </x:c>
      <x:c r="E514" s="69" t="str">
        <x:v>serving, ingestion, benchmarks</x:v>
      </x:c>
      <x:c r="F514" s="69" t="str">
        <x:v>tables</x:v>
      </x:c>
      <x:c r="G514" s="69" t="str">
        <x:v>src/trace_net/tables/</x:v>
      </x:c>
      <x:c r="H514" s="69" t="str">
        <x:v>src/trace_net/tables/trace_net_table_route_value_audit_lep_v4_preset_v1.py</x:v>
      </x:c>
      <x:c r="I514" s="69" t="str">
        <x:v>active library module</x:v>
      </x:c>
      <x:c r="J514" s="69" t="str">
        <x:v>MOVE_WITH_IMPORT_UPDATES_AND_COMPATIBILITY_WRAPPER</x:v>
      </x:c>
      <x:c r="K514" s="70" t="b">
        <x:v>1</x:v>
      </x:c>
      <x:c r="L514" s="70" t="b">
        <x:v>0</x:v>
      </x:c>
      <x:c r="M514" s="70" t="b">
        <x:v>1</x:v>
      </x:c>
      <x:c r="N514" s="69" t="n">
        <x:v>3</x:v>
      </x:c>
      <x:c r="O514" s="69" t="n">
        <x:v>0</x:v>
      </x:c>
      <x:c r="P514" s="69" t="str">
        <x:v>scripts/check_trace_net_table_route_value_audit_lep_v4_preset_v1_quality.py; scripts/run_trace_net_table_route_value_audit_lep_v4_preset_v1.py; tests/unit/test_trace_net_table_route_value_audit_lep_v4_preset_v1.py</x:v>
      </x:c>
      <x:c r="Q514" s="71" t="n">
        <x:v>0.95</x:v>
      </x:c>
      <x:c r="R514" s="69" t="str">
        <x:v>table pipeline naming</x:v>
      </x:c>
      <x:c r="S514" s="69" t="str">
        <x:v>Primary implementation belongs to the tables stage based on filename, imports, and inventory evidence.</x:v>
      </x:c>
      <x:c r="T514" s="69" t="str">
        <x:v>Update imports and retain the old tiff module as a wrapper when callers exist.</x:v>
      </x:c>
      <x:c r="U514" s="69" t="str"/>
      <x:c r="V514" s="69" t="str"/>
      <x:c r="W514" s="69" t="str"/>
      <x:c r="X514" s="72" t="n">
        <x:v>25052</x:v>
      </x:c>
      <x:c r="Y514" s="70" t="b">
        <x:v>1</x:v>
      </x:c>
      <x:c r="Z514" s="69" t="str">
        <x:v>Compatibility required</x:v>
      </x:c>
      <x:c r="AA514" s="69" t="str">
        <x:v>https://github.com/jwild2027/heico-ai-internship-summer-2026/blob/srv/tiff/trace_net_table_route_value_audit_lep_v4_preset_v1.py</x:v>
      </x:c>
      <x:c r="AB514" s="69" t="str">
        <x:v>shared &lt;= string:contract, string:schema, string:utilities; ingestion &lt;= path:tiff; tables &lt;= path:table, string:column, string:ipl, string:table; embeddings &lt;= string:qdrant; retrieval &lt;= string:opensearch; context &lt;= string:source_trace</x:v>
      </x:c>
    </x:row>
    <x:row r="515">
      <x:c r="A515" s="68" t="n">
        <x:v>514</x:v>
      </x:c>
      <x:c r="B515" s="69" t="str">
        <x:v>tiff/trace_net_table_route_value_audit_v1.py</x:v>
      </x:c>
      <x:c r="C515" s="69" t="str">
        <x:v>trace_net_table_route_value_audit_v1.py</x:v>
      </x:c>
      <x:c r="D515" s="69" t="str">
        <x:v>tables</x:v>
      </x:c>
      <x:c r="E515" s="69" t="str">
        <x:v>ingestion</x:v>
      </x:c>
      <x:c r="F515" s="69" t="str">
        <x:v>tables</x:v>
      </x:c>
      <x:c r="G515" s="69" t="str">
        <x:v>src/trace_net/tables/</x:v>
      </x:c>
      <x:c r="H515" s="69" t="str">
        <x:v>src/trace_net/tables/trace_net_table_route_value_audit_v1.py</x:v>
      </x:c>
      <x:c r="I515" s="69" t="str">
        <x:v>active library module</x:v>
      </x:c>
      <x:c r="J515" s="69" t="str">
        <x:v>MOVE_WITH_IMPORT_UPDATES_AND_COMPATIBILITY_WRAPPER</x:v>
      </x:c>
      <x:c r="K515" s="70" t="b">
        <x:v>1</x:v>
      </x:c>
      <x:c r="L515" s="70" t="b">
        <x:v>0</x:v>
      </x:c>
      <x:c r="M515" s="70" t="b">
        <x:v>1</x:v>
      </x:c>
      <x:c r="N515" s="69" t="n">
        <x:v>4</x:v>
      </x:c>
      <x:c r="O515" s="69" t="n">
        <x:v>0</x:v>
      </x:c>
      <x:c r="P515" s="69" t="str">
        <x:v>scripts/build_trace_net_table_route_value_audit_v1.py; tests/unit/test_trace_net_table_route_value_audit_v1.py; tests/unit/test_trace_net_table_route_value_audit_v1_quality.py; tiff/trace_net_table_route_value_audit_v1_quality.py</x:v>
      </x:c>
      <x:c r="Q515" s="71" t="n">
        <x:v>0.95</x:v>
      </x:c>
      <x:c r="R515" s="69" t="str">
        <x:v>table pipeline naming</x:v>
      </x:c>
      <x:c r="S515" s="69" t="str">
        <x:v>Primary implementation belongs to the tables stage based on filename, imports, and inventory evidence.</x:v>
      </x:c>
      <x:c r="T515" s="69" t="str">
        <x:v>Update imports and retain the old tiff module as a wrapper when callers exist.</x:v>
      </x:c>
      <x:c r="U515" s="69" t="str"/>
      <x:c r="V515" s="69" t="str"/>
      <x:c r="W515" s="69" t="str"/>
      <x:c r="X515" s="72" t="n">
        <x:v>25714</x:v>
      </x:c>
      <x:c r="Y515" s="70" t="b">
        <x:v>1</x:v>
      </x:c>
      <x:c r="Z515" s="69" t="str">
        <x:v>Compatibility required</x:v>
      </x:c>
      <x:c r="AA515" s="69" t="str">
        <x:v>https://github.com/jwild2027/heico-ai-internship-summer-2026/blob/srv/tiff/trace_net_table_route_value_audit_v1.py</x:v>
      </x:c>
      <x:c r="AB515" s="69" t="str">
        <x:v>shared &lt;= string:contract, string:schema; ingestion &lt;= path:tiff; tables &lt;= path:table, symbol:table, string:column, string:ipl, string:table; embeddings &lt;= string:qdrant; retrieval &lt;= string:opensearch, string:retriev; context &lt;= string:source_trace</x:v>
      </x:c>
    </x:row>
    <x:row r="516">
      <x:c r="A516" s="68" t="n">
        <x:v>515</x:v>
      </x:c>
      <x:c r="B516" s="69" t="str">
        <x:v>tiff/trace_net_table_route_value_audit_v1_quality.py</x:v>
      </x:c>
      <x:c r="C516" s="69" t="str">
        <x:v>trace_net_table_route_value_audit_v1_quality.py</x:v>
      </x:c>
      <x:c r="D516" s="69" t="str">
        <x:v>tables</x:v>
      </x:c>
      <x:c r="E516" s="69" t="str">
        <x:v>ingestion</x:v>
      </x:c>
      <x:c r="F516" s="69" t="str">
        <x:v>tables</x:v>
      </x:c>
      <x:c r="G516" s="69" t="str">
        <x:v>src/trace_net/tables/quality/</x:v>
      </x:c>
      <x:c r="H516" s="69" t="str">
        <x:v>src/trace_net/tables/quality/trace_net_table_route_value_audit_v1_quality.py</x:v>
      </x:c>
      <x:c r="I516" s="69" t="str">
        <x:v>quality validator module</x:v>
      </x:c>
      <x:c r="J516" s="69" t="str">
        <x:v>MOVE_WITH_IMPORT_UPDATES_AND_COMPATIBILITY_WRAPPER</x:v>
      </x:c>
      <x:c r="K516" s="70" t="b">
        <x:v>1</x:v>
      </x:c>
      <x:c r="L516" s="70" t="b">
        <x:v>0</x:v>
      </x:c>
      <x:c r="M516" s="70" t="b">
        <x:v>1</x:v>
      </x:c>
      <x:c r="N516" s="69" t="n">
        <x:v>1</x:v>
      </x:c>
      <x:c r="O516" s="69" t="n">
        <x:v>0</x:v>
      </x:c>
      <x:c r="P516" s="69" t="str">
        <x:v>scripts/check_trace_net_table_route_value_audit_v1_quality.py</x:v>
      </x:c>
      <x:c r="Q516" s="71" t="n">
        <x:v>0.97</x:v>
      </x:c>
      <x:c r="R516" s="69" t="str">
        <x:v>table pipeline naming</x:v>
      </x:c>
      <x:c r="S516" s="69" t="str">
        <x:v>Quality logic is reusable source code for the tables stage.</x:v>
      </x:c>
      <x:c r="T516" s="69" t="str">
        <x:v>Update test and script imports; retain the old tiff import as a thin wrapper until PASS.</x:v>
      </x:c>
      <x:c r="U516" s="69" t="str"/>
      <x:c r="V516" s="69" t="str"/>
      <x:c r="W516" s="69" t="str"/>
      <x:c r="X516" s="72" t="n">
        <x:v>6626</x:v>
      </x:c>
      <x:c r="Y516" s="70" t="b">
        <x:v>1</x:v>
      </x:c>
      <x:c r="Z516" s="69" t="str">
        <x:v>Compatibility required</x:v>
      </x:c>
      <x:c r="AA516" s="69" t="str">
        <x:v>https://github.com/jwild2027/heico-ai-internship-summer-2026/blob/srv/tiff/trace_net_table_route_value_audit_v1_quality.py</x:v>
      </x:c>
      <x:c r="AB516" s="69" t="str">
        <x:v>shared &lt;= string:schema; ingestion &lt;= path:tiff, import:tiff; tables &lt;= path:table, import:table, string:ipl, string:table; embeddings &lt;= string:qdrant; retrieval &lt;= string:opensearch; referenced_by_count=2</x:v>
      </x:c>
    </x:row>
    <x:row r="517">
      <x:c r="A517" s="68" t="n">
        <x:v>516</x:v>
      </x:c>
      <x:c r="B517" s="69" t="str">
        <x:v>tiff/trace_net_table_route_value_normalizer_v1.py</x:v>
      </x:c>
      <x:c r="C517" s="69" t="str">
        <x:v>trace_net_table_route_value_normalizer_v1.py</x:v>
      </x:c>
      <x:c r="D517" s="69" t="str">
        <x:v>tables</x:v>
      </x:c>
      <x:c r="E517" s="69" t="str">
        <x:v>ingestion, benchmarks</x:v>
      </x:c>
      <x:c r="F517" s="69" t="str">
        <x:v>tables</x:v>
      </x:c>
      <x:c r="G517" s="69" t="str">
        <x:v>src/trace_net/tables/</x:v>
      </x:c>
      <x:c r="H517" s="69" t="str">
        <x:v>src/trace_net/tables/trace_net_table_route_value_normalizer_v1.py</x:v>
      </x:c>
      <x:c r="I517" s="69" t="str">
        <x:v>artifact builder implementation</x:v>
      </x:c>
      <x:c r="J517" s="69" t="str">
        <x:v>MOVE_WITH_IMPORT_UPDATES_AND_COMPATIBILITY_WRAPPER</x:v>
      </x:c>
      <x:c r="K517" s="70" t="b">
        <x:v>1</x:v>
      </x:c>
      <x:c r="L517" s="70" t="b">
        <x:v>0</x:v>
      </x:c>
      <x:c r="M517" s="70" t="b">
        <x:v>1</x:v>
      </x:c>
      <x:c r="N517" s="69" t="n">
        <x:v>4</x:v>
      </x:c>
      <x:c r="O517" s="69" t="n">
        <x:v>0</x:v>
      </x:c>
      <x:c r="P517" s="69" t="str">
        <x:v>scripts/build_trace_net_table_route_value_normalizer_v1.py; tests/unit/test_trace_net_table_route_value_normalizer_v1.py; tests/unit/test_trace_net_table_route_value_normalizer_v1_quality.py; tiff/trace_net_table_route_value_normalizer_v1_quality.py</x:v>
      </x:c>
      <x:c r="Q517" s="71" t="n">
        <x:v>0.96</x:v>
      </x:c>
      <x:c r="R517" s="69" t="str">
        <x:v>table pipeline naming</x:v>
      </x:c>
      <x:c r="S517" s="69" t="str">
        <x:v>Build implementation is imported by active wrappers/tests and belongs to the tables package.</x:v>
      </x:c>
      <x:c r="T517" s="69" t="str">
        <x:v>Update wrapper imports and compare generated artifact counts/checksums.</x:v>
      </x:c>
      <x:c r="U517" s="69" t="str"/>
      <x:c r="V517" s="69" t="str"/>
      <x:c r="W517" s="69" t="str"/>
      <x:c r="X517" s="72" t="n">
        <x:v>45359</x:v>
      </x:c>
      <x:c r="Y517" s="70" t="b">
        <x:v>1</x:v>
      </x:c>
      <x:c r="Z517" s="69" t="str">
        <x:v>Compatibility required</x:v>
      </x:c>
      <x:c r="AA517" s="69" t="str">
        <x:v>https://github.com/jwild2027/heico-ai-internship-summer-2026/blob/srv/tiff/trace_net_table_route_value_normalizer_v1.py</x:v>
      </x:c>
      <x:c r="AB517" s="69" t="str">
        <x:v>shared &lt;= string:contract, string:schema; ingestion &lt;= path:tiff, string:convert; ocr &lt;= string:ocr; visual &lt;= string:vision; tables &lt;= path:table, symbol:table, string:column, string:ipl, string:table; embeddings &lt;= string:qdrant</x:v>
      </x:c>
    </x:row>
    <x:row r="518">
      <x:c r="A518" s="68" t="n">
        <x:v>517</x:v>
      </x:c>
      <x:c r="B518" s="69" t="str">
        <x:v>tiff/trace_net_table_route_value_normalizer_v1_quality.py</x:v>
      </x:c>
      <x:c r="C518" s="69" t="str">
        <x:v>trace_net_table_route_value_normalizer_v1_quality.py</x:v>
      </x:c>
      <x:c r="D518" s="69" t="str">
        <x:v>tables</x:v>
      </x:c>
      <x:c r="E518" s="69" t="str">
        <x:v>ingestion</x:v>
      </x:c>
      <x:c r="F518" s="69" t="str">
        <x:v>tables</x:v>
      </x:c>
      <x:c r="G518" s="69" t="str">
        <x:v>src/trace_net/tables/quality/</x:v>
      </x:c>
      <x:c r="H518" s="69" t="str">
        <x:v>src/trace_net/tables/quality/trace_net_table_route_value_normalizer_v1_quality.py</x:v>
      </x:c>
      <x:c r="I518" s="69" t="str">
        <x:v>quality validator module</x:v>
      </x:c>
      <x:c r="J518" s="69" t="str">
        <x:v>MOVE_WITH_IMPORT_UPDATES_AND_COMPATIBILITY_WRAPPER</x:v>
      </x:c>
      <x:c r="K518" s="70" t="b">
        <x:v>1</x:v>
      </x:c>
      <x:c r="L518" s="70" t="b">
        <x:v>0</x:v>
      </x:c>
      <x:c r="M518" s="70" t="b">
        <x:v>1</x:v>
      </x:c>
      <x:c r="N518" s="69" t="n">
        <x:v>1</x:v>
      </x:c>
      <x:c r="O518" s="69" t="n">
        <x:v>0</x:v>
      </x:c>
      <x:c r="P518" s="69" t="str">
        <x:v>scripts/check_trace_net_table_route_value_normalizer_v1_quality.py</x:v>
      </x:c>
      <x:c r="Q518" s="71" t="n">
        <x:v>0.97</x:v>
      </x:c>
      <x:c r="R518" s="69" t="str">
        <x:v>table pipeline naming</x:v>
      </x:c>
      <x:c r="S518" s="69" t="str">
        <x:v>Quality logic is reusable source code for the tables stage.</x:v>
      </x:c>
      <x:c r="T518" s="69" t="str">
        <x:v>Update test and script imports; retain the old tiff import as a thin wrapper until PASS.</x:v>
      </x:c>
      <x:c r="U518" s="69" t="str"/>
      <x:c r="V518" s="69" t="str"/>
      <x:c r="W518" s="69" t="str"/>
      <x:c r="X518" s="72" t="n">
        <x:v>6958</x:v>
      </x:c>
      <x:c r="Y518" s="70" t="b">
        <x:v>1</x:v>
      </x:c>
      <x:c r="Z518" s="69" t="str">
        <x:v>Compatibility required</x:v>
      </x:c>
      <x:c r="AA518" s="69" t="str">
        <x:v>https://github.com/jwild2027/heico-ai-internship-summer-2026/blob/srv/tiff/trace_net_table_route_value_normalizer_v1_quality.py</x:v>
      </x:c>
      <x:c r="AB518" s="69" t="str">
        <x:v>shared &lt;= string:schema; ingestion &lt;= path:tiff, import:tiff; tables &lt;= path:table, import:table, string:ipl, string:table; embeddings &lt;= string:qdrant; retrieval &lt;= string:opensearch; serving &lt;= string:sse</x:v>
      </x:c>
    </x:row>
    <x:row r="519">
      <x:c r="A519" s="68" t="n">
        <x:v>518</x:v>
      </x:c>
      <x:c r="B519" s="69" t="str">
        <x:v>tiff/trace_net_table_row_context_source_expander_v1.py</x:v>
      </x:c>
      <x:c r="C519" s="69" t="str">
        <x:v>trace_net_table_row_context_source_expander_v1.py</x:v>
      </x:c>
      <x:c r="D519" s="69" t="str">
        <x:v>tables</x:v>
      </x:c>
      <x:c r="E519" s="69" t="str">
        <x:v>shared</x:v>
      </x:c>
      <x:c r="F519" s="69" t="str">
        <x:v>tables</x:v>
      </x:c>
      <x:c r="G519" s="69" t="str">
        <x:v>src/trace_net/tables/</x:v>
      </x:c>
      <x:c r="H519" s="69" t="str">
        <x:v>src/trace_net/tables/trace_net_table_row_context_source_expander_v1.py</x:v>
      </x:c>
      <x:c r="I519" s="69" t="str">
        <x:v>active library module</x:v>
      </x:c>
      <x:c r="J519" s="69" t="str">
        <x:v>MOVE_WITH_IMPORT_UPDATES_AND_COMPATIBILITY_WRAPPER</x:v>
      </x:c>
      <x:c r="K519" s="70" t="b">
        <x:v>1</x:v>
      </x:c>
      <x:c r="L519" s="70" t="b">
        <x:v>0</x:v>
      </x:c>
      <x:c r="M519" s="70" t="b">
        <x:v>1</x:v>
      </x:c>
      <x:c r="N519" s="69" t="n">
        <x:v>3</x:v>
      </x:c>
      <x:c r="O519" s="69" t="n">
        <x:v>0</x:v>
      </x:c>
      <x:c r="P519" s="69" t="str">
        <x:v>scripts/build_trace_net_table_row_context_source_expander_v1.py; scripts/check_trace_net_table_row_context_source_expander_v1.py; tests/unit/test_trace_net_table_row_context_source_expander_v1.py</x:v>
      </x:c>
      <x:c r="Q519" s="71" t="n">
        <x:v>0.95</x:v>
      </x:c>
      <x:c r="R519" s="69" t="str">
        <x:v>table pipeline naming</x:v>
      </x:c>
      <x:c r="S519" s="69" t="str">
        <x:v>Primary implementation belongs to the tables stage based on filename, imports, and inventory evidence.</x:v>
      </x:c>
      <x:c r="T519" s="69" t="str">
        <x:v>Update imports and retain the old tiff module as a wrapper when callers exist.</x:v>
      </x:c>
      <x:c r="U519" s="69" t="str"/>
      <x:c r="V519" s="69" t="str">
        <x:v>TRACE_NET_TABLE_ROW_CONTEXT_SOURCE_EXPANDER_BUILT, TRACE_NET_TABLE_ROW_CONTEXT_SOURCE_EXPANDER_QUALITY_CHECKED</x:v>
      </x:c>
      <x:c r="W519" s="69" t="str"/>
      <x:c r="X519" s="72" t="n">
        <x:v>42826</x:v>
      </x:c>
      <x:c r="Y519" s="70" t="b">
        <x:v>1</x:v>
      </x:c>
      <x:c r="Z519" s="69" t="str">
        <x:v>Compatibility required</x:v>
      </x:c>
      <x:c r="AA519" s="69" t="str">
        <x:v>https://github.com/jwild2027/heico-ai-internship-summer-2026/blob/srv/tiff/trace_net_table_row_context_source_expander_v1.py</x:v>
      </x:c>
      <x:c r="AB519" s="69" t="str">
        <x:v>shared &lt;= symbol:source_trace_id, string:contract, string:dublin_core, string:schema, string:source_id; ingestion &lt;= path:tiff, string:tiff; ocr &lt;= string:ocr; visual &lt;= symbol:visual, string:diagram, string:image_visual, string:visual; tables &lt;= path:table, path:table_row, symbol:column, symbol:table, string:column, string:ipl, string:table, string:table_row; graph &lt;= string:community, string:graph, string:leiden</x:v>
      </x:c>
    </x:row>
    <x:row r="520">
      <x:c r="A520" s="68" t="n">
        <x:v>519</x:v>
      </x:c>
      <x:c r="B520" s="69" t="str">
        <x:v>tiff/trace_net_table_structure_bbox_localizer_v1.py</x:v>
      </x:c>
      <x:c r="C520" s="69" t="str">
        <x:v>trace_net_table_structure_bbox_localizer_v1.py</x:v>
      </x:c>
      <x:c r="D520" s="69" t="str">
        <x:v>tables</x:v>
      </x:c>
      <x:c r="E520" s="69" t="str">
        <x:v>ingestion</x:v>
      </x:c>
      <x:c r="F520" s="69" t="str">
        <x:v>tables</x:v>
      </x:c>
      <x:c r="G520" s="69" t="str">
        <x:v>src/trace_net/tables/</x:v>
      </x:c>
      <x:c r="H520" s="69" t="str">
        <x:v>src/trace_net/tables/trace_net_table_structure_bbox_localizer_v1.py</x:v>
      </x:c>
      <x:c r="I520" s="69" t="str">
        <x:v>artifact builder implementation</x:v>
      </x:c>
      <x:c r="J520" s="69" t="str">
        <x:v>MOVE_WITH_IMPORT_UPDATES_AND_COMPATIBILITY_WRAPPER</x:v>
      </x:c>
      <x:c r="K520" s="70" t="b">
        <x:v>1</x:v>
      </x:c>
      <x:c r="L520" s="70" t="b">
        <x:v>0</x:v>
      </x:c>
      <x:c r="M520" s="70" t="b">
        <x:v>1</x:v>
      </x:c>
      <x:c r="N520" s="69" t="n">
        <x:v>3</x:v>
      </x:c>
      <x:c r="O520" s="69" t="n">
        <x:v>0</x:v>
      </x:c>
      <x:c r="P520" s="69" t="str">
        <x:v>scripts/build_trace_net_table_structure_bbox_localizer_v1.py; tests/unit/test_trace_net_table_structure_bbox_localizer_v1.py; tiff/trace_net_table_structure_bbox_localizer_v1_quality.py</x:v>
      </x:c>
      <x:c r="Q520" s="71" t="n">
        <x:v>0.96</x:v>
      </x:c>
      <x:c r="R520" s="69" t="str">
        <x:v>table pipeline naming</x:v>
      </x:c>
      <x:c r="S520" s="69" t="str">
        <x:v>Build implementation is imported by active wrappers/tests and belongs to the tables package.</x:v>
      </x:c>
      <x:c r="T520" s="69" t="str">
        <x:v>Update wrapper imports and compare generated artifact counts/checksums.</x:v>
      </x:c>
      <x:c r="U520" s="69" t="str"/>
      <x:c r="V520" s="69" t="str"/>
      <x:c r="W520" s="69" t="str"/>
      <x:c r="X520" s="72" t="n">
        <x:v>31905</x:v>
      </x:c>
      <x:c r="Y520" s="70" t="b">
        <x:v>1</x:v>
      </x:c>
      <x:c r="Z520" s="69" t="str">
        <x:v>Compatibility required</x:v>
      </x:c>
      <x:c r="AA520" s="69" t="str">
        <x:v>https://github.com/jwild2027/heico-ai-internship-summer-2026/blob/srv/tiff/trace_net_table_structure_bbox_localizer_v1.py</x:v>
      </x:c>
      <x:c r="AB520" s="69" t="str">
        <x:v>shared &lt;= string:contract, string:schema; ingestion &lt;= path:tiff; ocr &lt;= string:ocr, string:paddleocr; visual &lt;= symbol:visual, string:visual; tables &lt;= path:table, symbol:table, string:column, string:table, string:table_row; embeddings &lt;= string:qdrant</x:v>
      </x:c>
    </x:row>
    <x:row r="521">
      <x:c r="A521" s="68" t="n">
        <x:v>520</x:v>
      </x:c>
      <x:c r="B521" s="69" t="str">
        <x:v>tiff/trace_net_table_structure_bbox_localizer_v1_quality.py</x:v>
      </x:c>
      <x:c r="C521" s="69" t="str">
        <x:v>trace_net_table_structure_bbox_localizer_v1_quality.py</x:v>
      </x:c>
      <x:c r="D521" s="69" t="str">
        <x:v>tables</x:v>
      </x:c>
      <x:c r="E521" s="69" t="str">
        <x:v>ingestion, benchmarks</x:v>
      </x:c>
      <x:c r="F521" s="69" t="str">
        <x:v>tables</x:v>
      </x:c>
      <x:c r="G521" s="69" t="str">
        <x:v>src/trace_net/tables/quality/</x:v>
      </x:c>
      <x:c r="H521" s="69" t="str">
        <x:v>src/trace_net/tables/quality/trace_net_table_structure_bbox_localizer_v1_quality.py</x:v>
      </x:c>
      <x:c r="I521" s="69" t="str">
        <x:v>quality validator module</x:v>
      </x:c>
      <x:c r="J521" s="69" t="str">
        <x:v>MOVE_WITH_IMPORT_UPDATES_AND_COMPATIBILITY_WRAPPER</x:v>
      </x:c>
      <x:c r="K521" s="70" t="b">
        <x:v>1</x:v>
      </x:c>
      <x:c r="L521" s="70" t="b">
        <x:v>0</x:v>
      </x:c>
      <x:c r="M521" s="70" t="b">
        <x:v>1</x:v>
      </x:c>
      <x:c r="N521" s="69" t="n">
        <x:v>2</x:v>
      </x:c>
      <x:c r="O521" s="69" t="n">
        <x:v>0</x:v>
      </x:c>
      <x:c r="P521" s="69" t="str">
        <x:v>scripts/check_trace_net_table_structure_bbox_localizer_v1_quality.py; tests/unit/test_trace_net_table_structure_bbox_localizer_v1_quality.py</x:v>
      </x:c>
      <x:c r="Q521" s="71" t="n">
        <x:v>0.97</x:v>
      </x:c>
      <x:c r="R521" s="69" t="str">
        <x:v>table pipeline naming</x:v>
      </x:c>
      <x:c r="S521" s="69" t="str">
        <x:v>Quality logic is reusable source code for the tables stage.</x:v>
      </x:c>
      <x:c r="T521" s="69" t="str">
        <x:v>Update test and script imports; retain the old tiff import as a thin wrapper until PASS.</x:v>
      </x:c>
      <x:c r="U521" s="69" t="str"/>
      <x:c r="V521" s="69" t="str"/>
      <x:c r="W521" s="69" t="str"/>
      <x:c r="X521" s="72" t="n">
        <x:v>3542</x:v>
      </x:c>
      <x:c r="Y521" s="70" t="b">
        <x:v>1</x:v>
      </x:c>
      <x:c r="Z521" s="69" t="str">
        <x:v>Compatibility required</x:v>
      </x:c>
      <x:c r="AA521" s="69" t="str">
        <x:v>https://github.com/jwild2027/heico-ai-internship-summer-2026/blob/srv/tiff/trace_net_table_structure_bbox_localizer_v1_quality.py</x:v>
      </x:c>
      <x:c r="AB521" s="69" t="str">
        <x:v>shared &lt;= string:helper, string:schema; ingestion &lt;= path:tiff, import:tiff; visual &lt;= string:visual; tables &lt;= path:table, import:table, string:column, string:table, string:table_row; embeddings &lt;= string:qdrant; retrieval &lt;= string:opensearch</x:v>
      </x:c>
    </x:row>
    <x:row r="522">
      <x:c r="A522" s="68" t="n">
        <x:v>521</x:v>
      </x:c>
      <x:c r="B522" s="69" t="str">
        <x:v>tiff/trace_net_table_structure_bbox_overlay_export_v1.py</x:v>
      </x:c>
      <x:c r="C522" s="69" t="str">
        <x:v>trace_net_table_structure_bbox_overlay_export_v1.py</x:v>
      </x:c>
      <x:c r="D522" s="69" t="str">
        <x:v>tables</x:v>
      </x:c>
      <x:c r="E522" s="69" t="str">
        <x:v>ingestion</x:v>
      </x:c>
      <x:c r="F522" s="69" t="str">
        <x:v>tables</x:v>
      </x:c>
      <x:c r="G522" s="69" t="str">
        <x:v>src/trace_net/tables/</x:v>
      </x:c>
      <x:c r="H522" s="69" t="str">
        <x:v>src/trace_net/tables/trace_net_table_structure_bbox_overlay_export_v1.py</x:v>
      </x:c>
      <x:c r="I522" s="69" t="str">
        <x:v>artifact builder implementation</x:v>
      </x:c>
      <x:c r="J522" s="69" t="str">
        <x:v>MOVE_WITH_IMPORT_UPDATES_AND_COMPATIBILITY_WRAPPER</x:v>
      </x:c>
      <x:c r="K522" s="70" t="b">
        <x:v>1</x:v>
      </x:c>
      <x:c r="L522" s="70" t="b">
        <x:v>0</x:v>
      </x:c>
      <x:c r="M522" s="70" t="b">
        <x:v>1</x:v>
      </x:c>
      <x:c r="N522" s="69" t="n">
        <x:v>4</x:v>
      </x:c>
      <x:c r="O522" s="69" t="n">
        <x:v>0</x:v>
      </x:c>
      <x:c r="P522" s="69" t="str">
        <x:v>scripts/build_trace_net_table_structure_bbox_overlay_export_v1.py; tests/unit/test_trace_net_table_structure_bbox_overlay_export_v1.py; tests/unit/test_trace_net_table_structure_bbox_overlay_export_v1_quality.py; tiff/trace_net_table_structure_bbox_overlay_export_v1_quality.py</x:v>
      </x:c>
      <x:c r="Q522" s="71" t="n">
        <x:v>0.96</x:v>
      </x:c>
      <x:c r="R522" s="69" t="str">
        <x:v>table pipeline naming</x:v>
      </x:c>
      <x:c r="S522" s="69" t="str">
        <x:v>Build implementation is imported by active wrappers/tests and belongs to the tables package.</x:v>
      </x:c>
      <x:c r="T522" s="69" t="str">
        <x:v>Update wrapper imports and compare generated artifact counts/checksums.</x:v>
      </x:c>
      <x:c r="U522" s="69" t="str"/>
      <x:c r="V522" s="69" t="str"/>
      <x:c r="W522" s="69" t="str"/>
      <x:c r="X522" s="72" t="n">
        <x:v>26167</x:v>
      </x:c>
      <x:c r="Y522" s="70" t="b">
        <x:v>1</x:v>
      </x:c>
      <x:c r="Z522" s="69" t="str">
        <x:v>Compatibility required</x:v>
      </x:c>
      <x:c r="AA522" s="69" t="str">
        <x:v>https://github.com/jwild2027/heico-ai-internship-summer-2026/blob/srv/tiff/trace_net_table_structure_bbox_overlay_export_v1.py</x:v>
      </x:c>
      <x:c r="AB522" s="69" t="str">
        <x:v>shared &lt;= string:contract, string:schema; ingestion &lt;= path:tiff, string:tiff; visual &lt;= string:visual; tables &lt;= path:table, symbol:table, string:column, string:table; embeddings &lt;= string:qdrant; retrieval &lt;= string:opensearch, string:retriev</x:v>
      </x:c>
    </x:row>
    <x:row r="523">
      <x:c r="A523" s="68" t="n">
        <x:v>522</x:v>
      </x:c>
      <x:c r="B523" s="69" t="str">
        <x:v>tiff/trace_net_table_structure_bbox_overlay_export_v1_quality.py</x:v>
      </x:c>
      <x:c r="C523" s="69" t="str">
        <x:v>trace_net_table_structure_bbox_overlay_export_v1_quality.py</x:v>
      </x:c>
      <x:c r="D523" s="69" t="str">
        <x:v>tables</x:v>
      </x:c>
      <x:c r="E523" s="69" t="str">
        <x:v>ingestion</x:v>
      </x:c>
      <x:c r="F523" s="69" t="str">
        <x:v>tables</x:v>
      </x:c>
      <x:c r="G523" s="69" t="str">
        <x:v>src/trace_net/tables/quality/</x:v>
      </x:c>
      <x:c r="H523" s="69" t="str">
        <x:v>src/trace_net/tables/quality/trace_net_table_structure_bbox_overlay_export_v1_quality.py</x:v>
      </x:c>
      <x:c r="I523" s="69" t="str">
        <x:v>quality validator module</x:v>
      </x:c>
      <x:c r="J523" s="69" t="str">
        <x:v>MOVE_WITH_IMPORT_UPDATES_AND_COMPATIBILITY_WRAPPER</x:v>
      </x:c>
      <x:c r="K523" s="70" t="b">
        <x:v>1</x:v>
      </x:c>
      <x:c r="L523" s="70" t="b">
        <x:v>0</x:v>
      </x:c>
      <x:c r="M523" s="70" t="b">
        <x:v>1</x:v>
      </x:c>
      <x:c r="N523" s="69" t="n">
        <x:v>1</x:v>
      </x:c>
      <x:c r="O523" s="69" t="n">
        <x:v>0</x:v>
      </x:c>
      <x:c r="P523" s="69" t="str">
        <x:v>scripts/check_trace_net_table_structure_bbox_overlay_export_v1_quality.py</x:v>
      </x:c>
      <x:c r="Q523" s="71" t="n">
        <x:v>0.97</x:v>
      </x:c>
      <x:c r="R523" s="69" t="str">
        <x:v>table pipeline naming</x:v>
      </x:c>
      <x:c r="S523" s="69" t="str">
        <x:v>Quality logic is reusable source code for the tables stage.</x:v>
      </x:c>
      <x:c r="T523" s="69" t="str">
        <x:v>Update test and script imports; retain the old tiff import as a thin wrapper until PASS.</x:v>
      </x:c>
      <x:c r="U523" s="69" t="str"/>
      <x:c r="V523" s="69" t="str"/>
      <x:c r="W523" s="69" t="str"/>
      <x:c r="X523" s="72" t="n">
        <x:v>3443</x:v>
      </x:c>
      <x:c r="Y523" s="70" t="b">
        <x:v>1</x:v>
      </x:c>
      <x:c r="Z523" s="69" t="str">
        <x:v>Compatibility required</x:v>
      </x:c>
      <x:c r="AA523" s="69" t="str">
        <x:v>https://github.com/jwild2027/heico-ai-internship-summer-2026/blob/srv/tiff/trace_net_table_structure_bbox_overlay_export_v1_quality.py</x:v>
      </x:c>
      <x:c r="AB523" s="69" t="str">
        <x:v>shared &lt;= string:schema; ingestion &lt;= path:tiff, import:tiff; visual &lt;= string:visual; tables &lt;= path:table, import:table, string:table; embeddings &lt;= string:qdrant; retrieval &lt;= string:opensearch</x:v>
      </x:c>
    </x:row>
    <x:row r="524">
      <x:c r="A524" s="68" t="n">
        <x:v>523</x:v>
      </x:c>
      <x:c r="B524" s="69" t="str">
        <x:v>tiff/trace_net_table_tile_text.py</x:v>
      </x:c>
      <x:c r="C524" s="69" t="str">
        <x:v>trace_net_table_tile_text.py</x:v>
      </x:c>
      <x:c r="D524" s="69" t="str">
        <x:v>tables</x:v>
      </x:c>
      <x:c r="E524" s="69" t="str">
        <x:v>ingestion</x:v>
      </x:c>
      <x:c r="F524" s="69" t="str">
        <x:v>tables</x:v>
      </x:c>
      <x:c r="G524" s="69" t="str">
        <x:v>src/trace_net/tables/</x:v>
      </x:c>
      <x:c r="H524" s="69" t="str">
        <x:v>src/trace_net/tables/trace_net_table_tile_text.py</x:v>
      </x:c>
      <x:c r="I524" s="69" t="str">
        <x:v>active library module</x:v>
      </x:c>
      <x:c r="J524" s="69" t="str">
        <x:v>MOVE_WITH_IMPORT_UPDATES_AND_COMPATIBILITY_WRAPPER</x:v>
      </x:c>
      <x:c r="K524" s="70" t="b">
        <x:v>1</x:v>
      </x:c>
      <x:c r="L524" s="70" t="b">
        <x:v>0</x:v>
      </x:c>
      <x:c r="M524" s="70" t="b">
        <x:v>1</x:v>
      </x:c>
      <x:c r="N524" s="69" t="n">
        <x:v>3</x:v>
      </x:c>
      <x:c r="O524" s="69" t="n">
        <x:v>0</x:v>
      </x:c>
      <x:c r="P524" s="69" t="str">
        <x:v>scripts/run_trace_net_table_tile_text.py; tests/unit/test_tiff_trace_net_table_tile_text.py; tiff/trace_net_table_tile_text_quality.py</x:v>
      </x:c>
      <x:c r="Q524" s="71" t="n">
        <x:v>0.95</x:v>
      </x:c>
      <x:c r="R524" s="69" t="str">
        <x:v>table pipeline naming</x:v>
      </x:c>
      <x:c r="S524" s="69" t="str">
        <x:v>Primary implementation belongs to the tables stage based on filename, imports, and inventory evidence.</x:v>
      </x:c>
      <x:c r="T524" s="69" t="str">
        <x:v>Update imports and retain the old tiff module as a wrapper when callers exist.</x:v>
      </x:c>
      <x:c r="U524" s="69" t="str"/>
      <x:c r="V524" s="69" t="str"/>
      <x:c r="W524" s="69" t="str"/>
      <x:c r="X524" s="72" t="n">
        <x:v>37050</x:v>
      </x:c>
      <x:c r="Y524" s="70" t="b">
        <x:v>1</x:v>
      </x:c>
      <x:c r="Z524" s="69" t="str">
        <x:v>Compatibility required</x:v>
      </x:c>
      <x:c r="AA524" s="69" t="str">
        <x:v>https://github.com/jwild2027/heico-ai-internship-summer-2026/blob/srv/tiff/trace_net_table_tile_text.py</x:v>
      </x:c>
      <x:c r="AB524" s="69" t="str">
        <x:v>shared &lt;= string:trust_tier; ingestion &lt;= path:tiff, symbol:tiff, string:tiff; ocr &lt;= symbol:ocr, string:ocr; tables &lt;= path:table, symbol:table, string:table; graph &lt;= symbol:graph, string:graph; context &lt;= string:source_trace</x:v>
      </x:c>
    </x:row>
    <x:row r="525">
      <x:c r="A525" s="68" t="n">
        <x:v>524</x:v>
      </x:c>
      <x:c r="B525" s="69" t="str">
        <x:v>tiff/trace_net_table_tile_text_quality.py</x:v>
      </x:c>
      <x:c r="C525" s="69" t="str">
        <x:v>trace_net_table_tile_text_quality.py</x:v>
      </x:c>
      <x:c r="D525" s="69" t="str">
        <x:v>tables</x:v>
      </x:c>
      <x:c r="E525" s="69" t="str">
        <x:v>ingestion</x:v>
      </x:c>
      <x:c r="F525" s="69" t="str">
        <x:v>tables</x:v>
      </x:c>
      <x:c r="G525" s="69" t="str">
        <x:v>src/trace_net/tables/quality/</x:v>
      </x:c>
      <x:c r="H525" s="69" t="str">
        <x:v>src/trace_net/tables/quality/trace_net_table_tile_text_quality.py</x:v>
      </x:c>
      <x:c r="I525" s="69" t="str">
        <x:v>quality validator module</x:v>
      </x:c>
      <x:c r="J525" s="69" t="str">
        <x:v>MOVE_WITH_IMPORT_UPDATES_AND_COMPATIBILITY_WRAPPER</x:v>
      </x:c>
      <x:c r="K525" s="70" t="b">
        <x:v>1</x:v>
      </x:c>
      <x:c r="L525" s="70" t="b">
        <x:v>0</x:v>
      </x:c>
      <x:c r="M525" s="70" t="b">
        <x:v>1</x:v>
      </x:c>
      <x:c r="N525" s="69" t="n">
        <x:v>2</x:v>
      </x:c>
      <x:c r="O525" s="69" t="n">
        <x:v>0</x:v>
      </x:c>
      <x:c r="P525" s="69" t="str">
        <x:v>scripts/check_trace_net_table_tile_text_quality.py; tests/unit/test_tiff_trace_net_table_tile_text_quality.py</x:v>
      </x:c>
      <x:c r="Q525" s="71" t="n">
        <x:v>0.97</x:v>
      </x:c>
      <x:c r="R525" s="69" t="str">
        <x:v>table pipeline naming</x:v>
      </x:c>
      <x:c r="S525" s="69" t="str">
        <x:v>Quality logic is reusable source code for the tables stage.</x:v>
      </x:c>
      <x:c r="T525" s="69" t="str">
        <x:v>Update test and script imports; retain the old tiff import as a thin wrapper until PASS.</x:v>
      </x:c>
      <x:c r="U525" s="69" t="str"/>
      <x:c r="V525" s="69" t="str"/>
      <x:c r="W525" s="69" t="str"/>
      <x:c r="X525" s="72" t="n">
        <x:v>6499</x:v>
      </x:c>
      <x:c r="Y525" s="70" t="b">
        <x:v>1</x:v>
      </x:c>
      <x:c r="Z525" s="69" t="str">
        <x:v>Compatibility required</x:v>
      </x:c>
      <x:c r="AA525" s="69" t="str">
        <x:v>https://github.com/jwild2027/heico-ai-internship-summer-2026/blob/srv/tiff/trace_net_table_tile_text_quality.py</x:v>
      </x:c>
      <x:c r="AB525" s="69" t="str">
        <x:v>ingestion &lt;= path:tiff, import:tiff; tables &lt;= path:table, symbol:table, import:table, string:table; graph &lt;= string:graph; serving &lt;= import:sse; referenced_by_count=1; imported_by_count=2</x:v>
      </x:c>
    </x:row>
    <x:row r="526">
      <x:c r="A526" s="68" t="n">
        <x:v>525</x:v>
      </x:c>
      <x:c r="B526" s="69" t="str">
        <x:v>tiff/trace_net_table_tile_text_refiner.py</x:v>
      </x:c>
      <x:c r="C526" s="69" t="str">
        <x:v>trace_net_table_tile_text_refiner.py</x:v>
      </x:c>
      <x:c r="D526" s="69" t="str">
        <x:v>tables</x:v>
      </x:c>
      <x:c r="E526" s="69" t="str">
        <x:v>ingestion</x:v>
      </x:c>
      <x:c r="F526" s="69" t="str">
        <x:v>tables</x:v>
      </x:c>
      <x:c r="G526" s="69" t="str">
        <x:v>src/trace_net/tables/</x:v>
      </x:c>
      <x:c r="H526" s="69" t="str">
        <x:v>src/trace_net/tables/trace_net_table_tile_text_refiner.py</x:v>
      </x:c>
      <x:c r="I526" s="69" t="str">
        <x:v>artifact builder implementation</x:v>
      </x:c>
      <x:c r="J526" s="69" t="str">
        <x:v>MOVE_WITH_IMPORT_UPDATES_AND_COMPATIBILITY_WRAPPER</x:v>
      </x:c>
      <x:c r="K526" s="70" t="b">
        <x:v>1</x:v>
      </x:c>
      <x:c r="L526" s="70" t="b">
        <x:v>0</x:v>
      </x:c>
      <x:c r="M526" s="70" t="b">
        <x:v>1</x:v>
      </x:c>
      <x:c r="N526" s="69" t="n">
        <x:v>3</x:v>
      </x:c>
      <x:c r="O526" s="69" t="n">
        <x:v>0</x:v>
      </x:c>
      <x:c r="P526" s="69" t="str">
        <x:v>scripts/refine_trace_net_table_tile_text.py; tests/unit/test_tiff_trace_net_table_tile_text_refiner.py; tiff/trace_net_table_tile_text_refiner_quality.py</x:v>
      </x:c>
      <x:c r="Q526" s="71" t="n">
        <x:v>0.96</x:v>
      </x:c>
      <x:c r="R526" s="69" t="str">
        <x:v>table pipeline naming</x:v>
      </x:c>
      <x:c r="S526" s="69" t="str">
        <x:v>Build implementation is imported by active wrappers/tests and belongs to the tables package.</x:v>
      </x:c>
      <x:c r="T526" s="69" t="str">
        <x:v>Update wrapper imports and compare generated artifact counts/checksums.</x:v>
      </x:c>
      <x:c r="U526" s="69" t="str"/>
      <x:c r="V526" s="69" t="str"/>
      <x:c r="W526" s="69" t="str"/>
      <x:c r="X526" s="72" t="n">
        <x:v>32431</x:v>
      </x:c>
      <x:c r="Y526" s="70" t="b">
        <x:v>1</x:v>
      </x:c>
      <x:c r="Z526" s="69" t="str">
        <x:v>Compatibility required</x:v>
      </x:c>
      <x:c r="AA526" s="69" t="str">
        <x:v>https://github.com/jwild2027/heico-ai-internship-summer-2026/blob/srv/tiff/trace_net_table_tile_text_refiner.py</x:v>
      </x:c>
      <x:c r="AB526" s="69" t="str">
        <x:v>shared &lt;= string:trust_tier; ingestion &lt;= path:tiff; ocr &lt;= string:ocr; visual &lt;= string:vision; tables &lt;= path:table, symbol:table, string:ipl, string:table, string:table_row; graph &lt;= symbol:graph, string:graph</x:v>
      </x:c>
    </x:row>
    <x:row r="527">
      <x:c r="A527" s="68" t="n">
        <x:v>526</x:v>
      </x:c>
      <x:c r="B527" s="69" t="str">
        <x:v>tiff/trace_net_table_tile_text_refiner_quality.py</x:v>
      </x:c>
      <x:c r="C527" s="69" t="str">
        <x:v>trace_net_table_tile_text_refiner_quality.py</x:v>
      </x:c>
      <x:c r="D527" s="69" t="str">
        <x:v>tables</x:v>
      </x:c>
      <x:c r="E527" s="69" t="str">
        <x:v>ingestion</x:v>
      </x:c>
      <x:c r="F527" s="69" t="str">
        <x:v>tables</x:v>
      </x:c>
      <x:c r="G527" s="69" t="str">
        <x:v>src/trace_net/tables/quality/</x:v>
      </x:c>
      <x:c r="H527" s="69" t="str">
        <x:v>src/trace_net/tables/quality/trace_net_table_tile_text_refiner_quality.py</x:v>
      </x:c>
      <x:c r="I527" s="69" t="str">
        <x:v>quality validator module</x:v>
      </x:c>
      <x:c r="J527" s="69" t="str">
        <x:v>MOVE_WITH_IMPORT_UPDATES_AND_COMPATIBILITY_WRAPPER</x:v>
      </x:c>
      <x:c r="K527" s="70" t="b">
        <x:v>1</x:v>
      </x:c>
      <x:c r="L527" s="70" t="b">
        <x:v>0</x:v>
      </x:c>
      <x:c r="M527" s="70" t="b">
        <x:v>1</x:v>
      </x:c>
      <x:c r="N527" s="69" t="n">
        <x:v>2</x:v>
      </x:c>
      <x:c r="O527" s="69" t="n">
        <x:v>0</x:v>
      </x:c>
      <x:c r="P527" s="69" t="str">
        <x:v>scripts/check_trace_net_table_tile_text_refined_quality.py; tests/unit/test_tiff_trace_net_table_tile_text_refiner_quality.py</x:v>
      </x:c>
      <x:c r="Q527" s="71" t="n">
        <x:v>0.97</x:v>
      </x:c>
      <x:c r="R527" s="69" t="str">
        <x:v>table pipeline naming</x:v>
      </x:c>
      <x:c r="S527" s="69" t="str">
        <x:v>Quality logic is reusable source code for the tables stage.</x:v>
      </x:c>
      <x:c r="T527" s="69" t="str">
        <x:v>Update test and script imports; retain the old tiff import as a thin wrapper until PASS.</x:v>
      </x:c>
      <x:c r="U527" s="69" t="str"/>
      <x:c r="V527" s="69" t="str"/>
      <x:c r="W527" s="69" t="str"/>
      <x:c r="X527" s="72" t="n">
        <x:v>8607</x:v>
      </x:c>
      <x:c r="Y527" s="70" t="b">
        <x:v>1</x:v>
      </x:c>
      <x:c r="Z527" s="69" t="str">
        <x:v>Compatibility required</x:v>
      </x:c>
      <x:c r="AA527" s="69" t="str">
        <x:v>https://github.com/jwild2027/heico-ai-internship-summer-2026/blob/srv/tiff/trace_net_table_tile_text_refiner_quality.py</x:v>
      </x:c>
      <x:c r="AB527" s="69" t="str">
        <x:v>shared &lt;= string:trust_tier; ingestion &lt;= path:tiff, import:tiff; tables &lt;= path:table, symbol:table, import:table, string:table; graph &lt;= string:graph; serving &lt;= import:sse; referenced_by_count=1</x:v>
      </x:c>
    </x:row>
    <x:row r="528">
      <x:c r="A528" s="68" t="n">
        <x:v>527</x:v>
      </x:c>
      <x:c r="B528" s="69" t="str">
        <x:v>tiff/trace_net_table_tiles.py</x:v>
      </x:c>
      <x:c r="C528" s="69" t="str">
        <x:v>trace_net_table_tiles.py</x:v>
      </x:c>
      <x:c r="D528" s="69" t="str">
        <x:v>tables</x:v>
      </x:c>
      <x:c r="E528" s="69" t="str">
        <x:v>ingestion, serving</x:v>
      </x:c>
      <x:c r="F528" s="69" t="str">
        <x:v>tables</x:v>
      </x:c>
      <x:c r="G528" s="69" t="str">
        <x:v>src/trace_net/tables/</x:v>
      </x:c>
      <x:c r="H528" s="69" t="str">
        <x:v>src/trace_net/tables/trace_net_table_tiles.py</x:v>
      </x:c>
      <x:c r="I528" s="69" t="str">
        <x:v>active library module</x:v>
      </x:c>
      <x:c r="J528" s="69" t="str">
        <x:v>MOVE_WITH_IMPORT_UPDATES_AND_COMPATIBILITY_WRAPPER</x:v>
      </x:c>
      <x:c r="K528" s="70" t="b">
        <x:v>1</x:v>
      </x:c>
      <x:c r="L528" s="70" t="b">
        <x:v>0</x:v>
      </x:c>
      <x:c r="M528" s="70" t="b">
        <x:v>1</x:v>
      </x:c>
      <x:c r="N528" s="69" t="n">
        <x:v>4</x:v>
      </x:c>
      <x:c r="O528" s="69" t="n">
        <x:v>0</x:v>
      </x:c>
      <x:c r="P528" s="69" t="str">
        <x:v>scripts/check_trace_net_table_tile_quality.py; scripts/run_trace_net_table_tiles.py; tests/unit/test_tiff_trace_net_table_tile_quality.py; tests/unit/test_tiff_trace_net_table_tiles.py</x:v>
      </x:c>
      <x:c r="Q528" s="71" t="n">
        <x:v>0.95</x:v>
      </x:c>
      <x:c r="R528" s="69" t="str">
        <x:v>table pipeline naming</x:v>
      </x:c>
      <x:c r="S528" s="69" t="str">
        <x:v>Primary implementation belongs to the tables stage based on filename, imports, and inventory evidence.</x:v>
      </x:c>
      <x:c r="T528" s="69" t="str">
        <x:v>Update imports and retain the old tiff module as a wrapper when callers exist.</x:v>
      </x:c>
      <x:c r="U528" s="69" t="str"/>
      <x:c r="V528" s="69" t="str"/>
      <x:c r="W528" s="69" t="str"/>
      <x:c r="X528" s="72" t="n">
        <x:v>66406</x:v>
      </x:c>
      <x:c r="Y528" s="70" t="b">
        <x:v>1</x:v>
      </x:c>
      <x:c r="Z528" s="69" t="str">
        <x:v>Compatibility required</x:v>
      </x:c>
      <x:c r="AA528" s="69" t="str">
        <x:v>https://github.com/jwild2027/heico-ai-internship-summer-2026/blob/srv/tiff/trace_net_table_tiles.py</x:v>
      </x:c>
      <x:c r="AB528" s="69" t="str">
        <x:v>ingestion &lt;= path:tiff, symbol:tiff, string:page_image, string:preprocess, string:tiff; ocr &lt;= string:ocr; visual &lt;= string:diagram, string:vision, string:visual; tables &lt;= path:table, symbol:table, string:column, string:parts_list, string:table; graph &lt;= symbol:graph, string:graph; router &lt;= string:routing</x:v>
      </x:c>
    </x:row>
    <x:row r="529">
      <x:c r="A529" s="68" t="n">
        <x:v>528</x:v>
      </x:c>
      <x:c r="B529" s="69" t="str">
        <x:v>tiff/trace_net_table_understanding_v1.py</x:v>
      </x:c>
      <x:c r="C529" s="69" t="str">
        <x:v>trace_net_table_understanding_v1.py</x:v>
      </x:c>
      <x:c r="D529" s="69" t="str">
        <x:v>tables</x:v>
      </x:c>
      <x:c r="E529" s="69" t="str">
        <x:v>benchmarks, embeddings</x:v>
      </x:c>
      <x:c r="F529" s="69" t="str">
        <x:v>tables</x:v>
      </x:c>
      <x:c r="G529" s="69" t="str">
        <x:v>src/trace_net/tables/</x:v>
      </x:c>
      <x:c r="H529" s="69" t="str">
        <x:v>src/trace_net/tables/trace_net_table_understanding_v1.py</x:v>
      </x:c>
      <x:c r="I529" s="69" t="str">
        <x:v>active library module</x:v>
      </x:c>
      <x:c r="J529" s="69" t="str">
        <x:v>MOVE_WITH_IMPORT_UPDATES_AND_COMPATIBILITY_WRAPPER</x:v>
      </x:c>
      <x:c r="K529" s="70" t="b">
        <x:v>1</x:v>
      </x:c>
      <x:c r="L529" s="70" t="b">
        <x:v>0</x:v>
      </x:c>
      <x:c r="M529" s="70" t="b">
        <x:v>1</x:v>
      </x:c>
      <x:c r="N529" s="69" t="n">
        <x:v>4</x:v>
      </x:c>
      <x:c r="O529" s="69" t="n">
        <x:v>0</x:v>
      </x:c>
      <x:c r="P529" s="69" t="str">
        <x:v>scripts/build_trace_net_table_understanding_v1.py; scripts/check_trace_net_table_understanding_v1_quality.py; tests/unit/test_trace_net_table_understanding_v1.py; tests/unit/test_trace_net_table_understanding_v1_quality.py</x:v>
      </x:c>
      <x:c r="Q529" s="71" t="n">
        <x:v>0.95</x:v>
      </x:c>
      <x:c r="R529" s="69" t="str">
        <x:v>table pipeline naming</x:v>
      </x:c>
      <x:c r="S529" s="69" t="str">
        <x:v>Primary implementation belongs to the tables stage based on filename, imports, and inventory evidence.</x:v>
      </x:c>
      <x:c r="T529" s="69" t="str">
        <x:v>Update imports and retain the old tiff module as a wrapper when callers exist.</x:v>
      </x:c>
      <x:c r="U529" s="69" t="str"/>
      <x:c r="V529" s="69" t="str"/>
      <x:c r="W529" s="69" t="str"/>
      <x:c r="X529" s="72" t="n">
        <x:v>39540</x:v>
      </x:c>
      <x:c r="Y529" s="70" t="b">
        <x:v>1</x:v>
      </x:c>
      <x:c r="Z529" s="69" t="str">
        <x:v>Compatibility required</x:v>
      </x:c>
      <x:c r="AA529" s="69" t="str">
        <x:v>https://github.com/jwild2027/heico-ai-internship-summer-2026/blob/srv/tiff/trace_net_table_understanding_v1.py</x:v>
      </x:c>
      <x:c r="AB529" s="69" t="str">
        <x:v>shared &lt;= string:helper, string:schema, string:trust_tier; ingestion &lt;= path:tiff, string:tiff; ocr &lt;= symbol:fishnet, string:fishnet, string:ocr; visual &lt;= string:vision; tables &lt;= path:table, symbol:table, symbol:table_cell, string:ipl, string:parts_list, string:table; graph &lt;= symbol:graph, string:graph</x:v>
      </x:c>
    </x:row>
    <x:row r="530">
      <x:c r="A530" s="68" t="n">
        <x:v>529</x:v>
      </x:c>
      <x:c r="B530" s="69" t="str">
        <x:v>tiff/trace_net_table_visual_bbox_localizer_v1.py</x:v>
      </x:c>
      <x:c r="C530" s="69" t="str">
        <x:v>trace_net_table_visual_bbox_localizer_v1.py</x:v>
      </x:c>
      <x:c r="D530" s="69" t="str">
        <x:v>tables</x:v>
      </x:c>
      <x:c r="E530" s="69" t="str">
        <x:v>visual, ingestion</x:v>
      </x:c>
      <x:c r="F530" s="69" t="str">
        <x:v>tables</x:v>
      </x:c>
      <x:c r="G530" s="69" t="str">
        <x:v>src/trace_net/tables/</x:v>
      </x:c>
      <x:c r="H530" s="69" t="str">
        <x:v>src/trace_net/tables/trace_net_table_visual_bbox_localizer_v1.py</x:v>
      </x:c>
      <x:c r="I530" s="69" t="str">
        <x:v>artifact builder implementation</x:v>
      </x:c>
      <x:c r="J530" s="69" t="str">
        <x:v>MOVE_WITH_IMPORT_UPDATES_AND_COMPATIBILITY_WRAPPER</x:v>
      </x:c>
      <x:c r="K530" s="70" t="b">
        <x:v>1</x:v>
      </x:c>
      <x:c r="L530" s="70" t="b">
        <x:v>0</x:v>
      </x:c>
      <x:c r="M530" s="70" t="b">
        <x:v>1</x:v>
      </x:c>
      <x:c r="N530" s="69" t="n">
        <x:v>4</x:v>
      </x:c>
      <x:c r="O530" s="69" t="n">
        <x:v>0</x:v>
      </x:c>
      <x:c r="P530" s="69" t="str">
        <x:v>scripts/build_trace_net_table_visual_bbox_localizer_v1.py; tests/unit/test_trace_net_table_visual_bbox_localizer_v1.py; tests/unit/test_trace_net_table_visual_bbox_localizer_v1_quality.py; tiff/trace_net_table_visual_bbox_localizer_v1_quality.py</x:v>
      </x:c>
      <x:c r="Q530" s="71" t="n">
        <x:v>0.96</x:v>
      </x:c>
      <x:c r="R530" s="69" t="str">
        <x:v>table pipeline naming</x:v>
      </x:c>
      <x:c r="S530" s="69" t="str">
        <x:v>Build implementation is imported by active wrappers/tests and belongs to the tables package.</x:v>
      </x:c>
      <x:c r="T530" s="69" t="str">
        <x:v>Update wrapper imports and compare generated artifact counts/checksums.</x:v>
      </x:c>
      <x:c r="U530" s="69" t="str"/>
      <x:c r="V530" s="69" t="str"/>
      <x:c r="W530" s="69" t="str"/>
      <x:c r="X530" s="72" t="n">
        <x:v>40287</x:v>
      </x:c>
      <x:c r="Y530" s="70" t="b">
        <x:v>1</x:v>
      </x:c>
      <x:c r="Z530" s="69" t="str">
        <x:v>Compatibility required</x:v>
      </x:c>
      <x:c r="AA530" s="69" t="str">
        <x:v>https://github.com/jwild2027/heico-ai-internship-summer-2026/blob/srv/tiff/trace_net_table_visual_bbox_localizer_v1.py</x:v>
      </x:c>
      <x:c r="AB530" s="69" t="str">
        <x:v>shared &lt;= string:contract, string:schema; ingestion &lt;= path:tiff, string:page_image, string:tiff; ocr &lt;= string:ocr; visual &lt;= path:visual, symbol:visual, string:visual; tables &lt;= path:table, symbol:table, string:column, string:ipl, string:table; embeddings &lt;= string:qdrant</x:v>
      </x:c>
    </x:row>
    <x:row r="531">
      <x:c r="A531" s="68" t="n">
        <x:v>530</x:v>
      </x:c>
      <x:c r="B531" s="69" t="str">
        <x:v>tiff/trace_net_table_visual_bbox_localizer_v1_quality.py</x:v>
      </x:c>
      <x:c r="C531" s="69" t="str">
        <x:v>trace_net_table_visual_bbox_localizer_v1_quality.py</x:v>
      </x:c>
      <x:c r="D531" s="69" t="str">
        <x:v>visual</x:v>
      </x:c>
      <x:c r="E531" s="69" t="str">
        <x:v>tables, ingestion</x:v>
      </x:c>
      <x:c r="F531" s="69" t="str">
        <x:v>tables</x:v>
      </x:c>
      <x:c r="G531" s="69" t="str">
        <x:v>src/trace_net/tables/quality/</x:v>
      </x:c>
      <x:c r="H531" s="69" t="str">
        <x:v>src/trace_net/tables/quality/trace_net_table_visual_bbox_localizer_v1_quality.py</x:v>
      </x:c>
      <x:c r="I531" s="69" t="str">
        <x:v>quality validator module</x:v>
      </x:c>
      <x:c r="J531" s="69" t="str">
        <x:v>MOVE_WITH_IMPORT_UPDATES_AND_COMPATIBILITY_WRAPPER</x:v>
      </x:c>
      <x:c r="K531" s="70" t="b">
        <x:v>1</x:v>
      </x:c>
      <x:c r="L531" s="70" t="b">
        <x:v>0</x:v>
      </x:c>
      <x:c r="M531" s="70" t="b">
        <x:v>1</x:v>
      </x:c>
      <x:c r="N531" s="69" t="n">
        <x:v>1</x:v>
      </x:c>
      <x:c r="O531" s="69" t="n">
        <x:v>0</x:v>
      </x:c>
      <x:c r="P531" s="69" t="str">
        <x:v>scripts/check_trace_net_table_visual_bbox_localizer_v1_quality.py</x:v>
      </x:c>
      <x:c r="Q531" s="71" t="n">
        <x:v>0.97</x:v>
      </x:c>
      <x:c r="R531" s="69" t="str">
        <x:v>table pipeline naming</x:v>
      </x:c>
      <x:c r="S531" s="69" t="str">
        <x:v>Quality logic is reusable source code for the tables stage.</x:v>
      </x:c>
      <x:c r="T531" s="69" t="str">
        <x:v>Update test and script imports; retain the old tiff import as a thin wrapper until PASS.</x:v>
      </x:c>
      <x:c r="U531" s="69" t="str"/>
      <x:c r="V531" s="69" t="str"/>
      <x:c r="W531" s="69" t="str"/>
      <x:c r="X531" s="72" t="n">
        <x:v>3674</x:v>
      </x:c>
      <x:c r="Y531" s="70" t="b">
        <x:v>1</x:v>
      </x:c>
      <x:c r="Z531" s="69" t="str">
        <x:v>Compatibility required</x:v>
      </x:c>
      <x:c r="AA531" s="69" t="str">
        <x:v>https://github.com/jwild2027/heico-ai-internship-summer-2026/blob/srv/tiff/trace_net_table_visual_bbox_localizer_v1_quality.py</x:v>
      </x:c>
      <x:c r="AB531" s="69" t="str">
        <x:v>shared &lt;= string:schema; ingestion &lt;= path:tiff, import:tiff; ocr &lt;= string:ocr; visual &lt;= path:visual, import:visual, string:visual; tables &lt;= path:table, import:table, string:table; embeddings &lt;= string:qdrant</x:v>
      </x:c>
    </x:row>
    <x:row r="532">
      <x:c r="A532" s="68" t="n">
        <x:v>531</x:v>
      </x:c>
      <x:c r="B532" s="69" t="str">
        <x:v>tiff/trace_net_table_visual_bbox_overlay_export_v1.py</x:v>
      </x:c>
      <x:c r="C532" s="69" t="str">
        <x:v>trace_net_table_visual_bbox_overlay_export_v1.py</x:v>
      </x:c>
      <x:c r="D532" s="69" t="str">
        <x:v>tables</x:v>
      </x:c>
      <x:c r="E532" s="69" t="str">
        <x:v>visual, ingestion</x:v>
      </x:c>
      <x:c r="F532" s="69" t="str">
        <x:v>tables</x:v>
      </x:c>
      <x:c r="G532" s="69" t="str">
        <x:v>src/trace_net/tables/</x:v>
      </x:c>
      <x:c r="H532" s="69" t="str">
        <x:v>src/trace_net/tables/trace_net_table_visual_bbox_overlay_export_v1.py</x:v>
      </x:c>
      <x:c r="I532" s="69" t="str">
        <x:v>artifact builder implementation</x:v>
      </x:c>
      <x:c r="J532" s="69" t="str">
        <x:v>MOVE_WITH_IMPORT_UPDATES_AND_COMPATIBILITY_WRAPPER</x:v>
      </x:c>
      <x:c r="K532" s="70" t="b">
        <x:v>1</x:v>
      </x:c>
      <x:c r="L532" s="70" t="b">
        <x:v>0</x:v>
      </x:c>
      <x:c r="M532" s="70" t="b">
        <x:v>1</x:v>
      </x:c>
      <x:c r="N532" s="69" t="n">
        <x:v>4</x:v>
      </x:c>
      <x:c r="O532" s="69" t="n">
        <x:v>0</x:v>
      </x:c>
      <x:c r="P532" s="69" t="str">
        <x:v>scripts/build_trace_net_table_visual_bbox_overlay_export_v1.py; tests/unit/test_trace_net_table_visual_bbox_overlay_export_v1.py; tests/unit/test_trace_net_table_visual_bbox_overlay_export_v1_quality.py; tiff/trace_net_table_visual_bbox_overlay_export_v1_quality.py</x:v>
      </x:c>
      <x:c r="Q532" s="71" t="n">
        <x:v>0.96</x:v>
      </x:c>
      <x:c r="R532" s="69" t="str">
        <x:v>table pipeline naming</x:v>
      </x:c>
      <x:c r="S532" s="69" t="str">
        <x:v>Build implementation is imported by active wrappers/tests and belongs to the tables package.</x:v>
      </x:c>
      <x:c r="T532" s="69" t="str">
        <x:v>Update wrapper imports and compare generated artifact counts/checksums.</x:v>
      </x:c>
      <x:c r="U532" s="69" t="str"/>
      <x:c r="V532" s="69" t="str"/>
      <x:c r="W532" s="69" t="str"/>
      <x:c r="X532" s="72" t="n">
        <x:v>24372</x:v>
      </x:c>
      <x:c r="Y532" s="70" t="b">
        <x:v>1</x:v>
      </x:c>
      <x:c r="Z532" s="69" t="str">
        <x:v>Compatibility required</x:v>
      </x:c>
      <x:c r="AA532" s="69" t="str">
        <x:v>https://github.com/jwild2027/heico-ai-internship-summer-2026/blob/srv/tiff/trace_net_table_visual_bbox_overlay_export_v1.py</x:v>
      </x:c>
      <x:c r="AB532" s="69" t="str">
        <x:v>shared &lt;= string:contract, string:schema; ingestion &lt;= path:tiff, string:tiff; visual &lt;= path:visual, string:visual; tables &lt;= path:table, symbol:table, string:column, string:table; embeddings &lt;= string:qdrant; retrieval &lt;= string:opensearch, string:retriev</x:v>
      </x:c>
    </x:row>
    <x:row r="533">
      <x:c r="A533" s="68" t="n">
        <x:v>532</x:v>
      </x:c>
      <x:c r="B533" s="69" t="str">
        <x:v>tiff/trace_net_table_visual_bbox_overlay_export_v1_quality.py</x:v>
      </x:c>
      <x:c r="C533" s="69" t="str">
        <x:v>trace_net_table_visual_bbox_overlay_export_v1_quality.py</x:v>
      </x:c>
      <x:c r="D533" s="69" t="str">
        <x:v>visual</x:v>
      </x:c>
      <x:c r="E533" s="69" t="str">
        <x:v>tables, ingestion</x:v>
      </x:c>
      <x:c r="F533" s="69" t="str">
        <x:v>tables</x:v>
      </x:c>
      <x:c r="G533" s="69" t="str">
        <x:v>src/trace_net/tables/quality/</x:v>
      </x:c>
      <x:c r="H533" s="69" t="str">
        <x:v>src/trace_net/tables/quality/trace_net_table_visual_bbox_overlay_export_v1_quality.py</x:v>
      </x:c>
      <x:c r="I533" s="69" t="str">
        <x:v>quality validator module</x:v>
      </x:c>
      <x:c r="J533" s="69" t="str">
        <x:v>MOVE_WITH_IMPORT_UPDATES_AND_COMPATIBILITY_WRAPPER</x:v>
      </x:c>
      <x:c r="K533" s="70" t="b">
        <x:v>1</x:v>
      </x:c>
      <x:c r="L533" s="70" t="b">
        <x:v>0</x:v>
      </x:c>
      <x:c r="M533" s="70" t="b">
        <x:v>1</x:v>
      </x:c>
      <x:c r="N533" s="69" t="n">
        <x:v>1</x:v>
      </x:c>
      <x:c r="O533" s="69" t="n">
        <x:v>0</x:v>
      </x:c>
      <x:c r="P533" s="69" t="str">
        <x:v>scripts/check_trace_net_table_visual_bbox_overlay_export_v1_quality.py</x:v>
      </x:c>
      <x:c r="Q533" s="71" t="n">
        <x:v>0.97</x:v>
      </x:c>
      <x:c r="R533" s="69" t="str">
        <x:v>table pipeline naming</x:v>
      </x:c>
      <x:c r="S533" s="69" t="str">
        <x:v>Quality logic is reusable source code for the tables stage.</x:v>
      </x:c>
      <x:c r="T533" s="69" t="str">
        <x:v>Update test and script imports; retain the old tiff import as a thin wrapper until PASS.</x:v>
      </x:c>
      <x:c r="U533" s="69" t="str"/>
      <x:c r="V533" s="69" t="str"/>
      <x:c r="W533" s="69" t="str"/>
      <x:c r="X533" s="72" t="n">
        <x:v>3386</x:v>
      </x:c>
      <x:c r="Y533" s="70" t="b">
        <x:v>1</x:v>
      </x:c>
      <x:c r="Z533" s="69" t="str">
        <x:v>Compatibility required</x:v>
      </x:c>
      <x:c r="AA533" s="69" t="str">
        <x:v>https://github.com/jwild2027/heico-ai-internship-summer-2026/blob/srv/tiff/trace_net_table_visual_bbox_overlay_export_v1_quality.py</x:v>
      </x:c>
      <x:c r="AB533" s="69" t="str">
        <x:v>shared &lt;= string:schema; ingestion &lt;= path:tiff, import:tiff; visual &lt;= path:visual, import:visual, string:visual; tables &lt;= path:table, import:table, string:table; embeddings &lt;= string:qdrant; retrieval &lt;= string:opensearch</x:v>
      </x:c>
    </x:row>
    <x:row r="534">
      <x:c r="A534" s="68" t="n">
        <x:v>533</x:v>
      </x:c>
      <x:c r="B534" s="69" t="str">
        <x:v>tiff/trace_net_trust_authority.py</x:v>
      </x:c>
      <x:c r="C534" s="69" t="str">
        <x:v>trace_net_trust_authority.py</x:v>
      </x:c>
      <x:c r="D534" s="69" t="str">
        <x:v>ingestion</x:v>
      </x:c>
      <x:c r="E534" s="69" t="str">
        <x:v>tables, shared, graph</x:v>
      </x:c>
      <x:c r="F534" s="69" t="str">
        <x:v>context</x:v>
      </x:c>
      <x:c r="G534" s="69" t="str">
        <x:v>src/trace_net/context/</x:v>
      </x:c>
      <x:c r="H534" s="69" t="str">
        <x:v>src/trace_net/context/trace_net_trust_authority.py</x:v>
      </x:c>
      <x:c r="I534" s="69" t="str">
        <x:v>active library module</x:v>
      </x:c>
      <x:c r="J534" s="69" t="str">
        <x:v>MOVE_WITH_IMPORT_UPDATES_AND_COMPATIBILITY_WRAPPER</x:v>
      </x:c>
      <x:c r="K534" s="70" t="b">
        <x:v>1</x:v>
      </x:c>
      <x:c r="L534" s="70" t="b">
        <x:v>0</x:v>
      </x:c>
      <x:c r="M534" s="70" t="b">
        <x:v>1</x:v>
      </x:c>
      <x:c r="N534" s="69" t="n">
        <x:v>3</x:v>
      </x:c>
      <x:c r="O534" s="69" t="n">
        <x:v>0</x:v>
      </x:c>
      <x:c r="P534" s="69" t="str">
        <x:v>scripts/build_trace_net_postgres_trust_authority.py; scripts/build_trace_net_trust_authority.py; tests/unit/test_tiff_trace_net_trust_authority.py</x:v>
      </x:c>
      <x:c r="Q534" s="71" t="n">
        <x:v>0.95</x:v>
      </x:c>
      <x:c r="R534" s="69" t="str">
        <x:v>context/evidence naming</x:v>
      </x:c>
      <x:c r="S534" s="69" t="str">
        <x:v>Primary implementation belongs to the context stage based on filename, imports, and inventory evidence.</x:v>
      </x:c>
      <x:c r="T534" s="69" t="str">
        <x:v>Update imports and retain the old tiff module as a wrapper when callers exist.</x:v>
      </x:c>
      <x:c r="U534" s="69" t="str"/>
      <x:c r="V534" s="69" t="str">
        <x:v>TRACE_NET_DATABASE_URL</x:v>
      </x:c>
      <x:c r="W534" s="69" t="str"/>
      <x:c r="X534" s="72" t="n">
        <x:v>26466</x:v>
      </x:c>
      <x:c r="Y534" s="70" t="b">
        <x:v>1</x:v>
      </x:c>
      <x:c r="Z534" s="69" t="str">
        <x:v>Compatibility required</x:v>
      </x:c>
      <x:c r="AA534" s="69" t="str">
        <x:v>https://github.com/jwild2027/heico-ai-internship-summer-2026/blob/srv/tiff/trace_net_trust_authority.py</x:v>
      </x:c>
      <x:c r="AB534" s="69" t="str">
        <x:v>shared &lt;= symbol:schema, string:schema, string:trust_tier; ingestion &lt;= path:tiff, string:tiff; ocr &lt;= string:ocr; tables &lt;= symbol:column, symbol:table, string:column, string:table; graph &lt;= symbol:graph, string:graph; embeddings &lt;= string:candidate_chunk, string:rag_candidate</x:v>
      </x:c>
    </x:row>
    <x:row r="535">
      <x:c r="A535" s="68" t="n">
        <x:v>534</x:v>
      </x:c>
      <x:c r="B535" s="69" t="str">
        <x:v>tiff/trace_net_trust_authority_quality.py</x:v>
      </x:c>
      <x:c r="C535" s="69" t="str">
        <x:v>trace_net_trust_authority_quality.py</x:v>
      </x:c>
      <x:c r="D535" s="69" t="str">
        <x:v>ingestion</x:v>
      </x:c>
      <x:c r="E535" s="69" t="str">
        <x:v>benchmarks</x:v>
      </x:c>
      <x:c r="F535" s="69" t="str">
        <x:v>validation</x:v>
      </x:c>
      <x:c r="G535" s="69" t="str">
        <x:v>src/trace_net/validation/</x:v>
      </x:c>
      <x:c r="H535" s="69" t="str">
        <x:v>src/trace_net/validation/trace_net_trust_authority_quality.py</x:v>
      </x:c>
      <x:c r="I535" s="69" t="str">
        <x:v>quality validator module</x:v>
      </x:c>
      <x:c r="J535" s="69" t="str">
        <x:v>MOVE_WITH_IMPORT_UPDATES_AND_COMPATIBILITY_WRAPPER</x:v>
      </x:c>
      <x:c r="K535" s="70" t="b">
        <x:v>1</x:v>
      </x:c>
      <x:c r="L535" s="70" t="b">
        <x:v>0</x:v>
      </x:c>
      <x:c r="M535" s="70" t="b">
        <x:v>1</x:v>
      </x:c>
      <x:c r="N535" s="69" t="n">
        <x:v>3</x:v>
      </x:c>
      <x:c r="O535" s="69" t="n">
        <x:v>0</x:v>
      </x:c>
      <x:c r="P535" s="69" t="str">
        <x:v>scripts/check_trace_net_postgres_trust_authority_quality.py; scripts/check_trace_net_trust_authority_quality.py; tests/unit/test_tiff_trace_net_trust_authority_quality.py</x:v>
      </x:c>
      <x:c r="Q535" s="71" t="n">
        <x:v>0.97</x:v>
      </x:c>
      <x:c r="R535" s="69" t="str">
        <x:v>context/evidence naming</x:v>
      </x:c>
      <x:c r="S535" s="69" t="str">
        <x:v>Quality logic is reusable source code for the context stage.</x:v>
      </x:c>
      <x:c r="T535" s="69" t="str">
        <x:v>Update test and script imports; retain the old tiff import as a thin wrapper until PASS.</x:v>
      </x:c>
      <x:c r="U535" s="69" t="str"/>
      <x:c r="V535" s="69" t="str">
        <x:v>TRACE_NET_DATABASE_URL</x:v>
      </x:c>
      <x:c r="W535" s="69" t="str"/>
      <x:c r="X535" s="72" t="n">
        <x:v>12914</x:v>
      </x:c>
      <x:c r="Y535" s="70" t="b">
        <x:v>1</x:v>
      </x:c>
      <x:c r="Z535" s="69" t="str">
        <x:v>Compatibility required</x:v>
      </x:c>
      <x:c r="AA535" s="69" t="str">
        <x:v>https://github.com/jwild2027/heico-ai-internship-summer-2026/blob/srv/tiff/trace_net_trust_authority_quality.py</x:v>
      </x:c>
      <x:c r="AB535" s="69" t="str">
        <x:v>shared &lt;= string:trust_tier; ingestion &lt;= path:tiff; tables &lt;= symbol:table; embeddings &lt;= string:candidate_chunk, string:rag_candidate; context &lt;= string:source_trace; operations &lt;= string:install</x:v>
      </x:c>
    </x:row>
    <x:row r="536">
      <x:c r="A536" s="68" t="n">
        <x:v>535</x:v>
      </x:c>
      <x:c r="B536" s="69" t="str">
        <x:v>tiff/trace_net_v2_gemma_summary_sample_runner_v1.py</x:v>
      </x:c>
      <x:c r="C536" s="69" t="str">
        <x:v>trace_net_v2_gemma_summary_sample_runner_v1.py</x:v>
      </x:c>
      <x:c r="D536" s="69" t="str">
        <x:v>llm_writing</x:v>
      </x:c>
      <x:c r="E536" s="69" t="str">
        <x:v>ingestion, benchmarks, context</x:v>
      </x:c>
      <x:c r="F536" s="69" t="str">
        <x:v>writing</x:v>
      </x:c>
      <x:c r="G536" s="69" t="str">
        <x:v>src/trace_net/writing/</x:v>
      </x:c>
      <x:c r="H536" s="69" t="str">
        <x:v>src/trace_net/writing/trace_net_v2_gemma_summary_sample_runner_v1.py</x:v>
      </x:c>
      <x:c r="I536" s="69" t="str">
        <x:v>active library module</x:v>
      </x:c>
      <x:c r="J536" s="69" t="str">
        <x:v>MOVE_WITH_PROTECTED_COMPATIBILITY_WRAPPER</x:v>
      </x:c>
      <x:c r="K536" s="70" t="b">
        <x:v>1</x:v>
      </x:c>
      <x:c r="L536" s="70" t="b">
        <x:v>1</x:v>
      </x:c>
      <x:c r="M536" s="70" t="b">
        <x:v>1</x:v>
      </x:c>
      <x:c r="N536" s="69" t="n">
        <x:v>3</x:v>
      </x:c>
      <x:c r="O536" s="69" t="n">
        <x:v>0</x:v>
      </x:c>
      <x:c r="P536" s="69" t="str">
        <x:v>scripts/build_trace_net_v2_gemma_summary_sample_runner_v1.py; scripts/check_trace_net_v2_gemma_summary_sample_runner_v1_quality.py; tests/unit/test_trace_net_v2_gemma_summary_sample_runner_v1.py</x:v>
      </x:c>
      <x:c r="Q536" s="71" t="n">
        <x:v>0.95</x:v>
      </x:c>
      <x:c r="R536" s="69" t="str">
        <x:v>inventory stage: llm_writing</x:v>
      </x:c>
      <x:c r="S536" s="69" t="str">
        <x:v>Primary implementation belongs to the writing stage based on filename, imports, and inventory evidence.</x:v>
      </x:c>
      <x:c r="T536" s="69" t="str">
        <x:v>Update imports and retain the old tiff module as a wrapper when callers exist.</x:v>
      </x:c>
      <x:c r="U536" s="69" t="str">
        <x:v>11434</x:v>
      </x:c>
      <x:c r="V536" s="69" t="str">
        <x:v>TRACE_NET_V2_GEMMA_SUMMARY_SAMPLE_BUILT, TRACE_NET_V2_GEMMA_SUMMARY_SAMPLE_QUALITY_CHECKED</x:v>
      </x:c>
      <x:c r="W536" s="69" t="str"/>
      <x:c r="X536" s="72" t="n">
        <x:v>43651</x:v>
      </x:c>
      <x:c r="Y536" s="70" t="b">
        <x:v>1</x:v>
      </x:c>
      <x:c r="Z536" s="69" t="str">
        <x:v>Protected runtime</x:v>
      </x:c>
      <x:c r="AA536" s="69" t="str">
        <x:v>https://github.com/jwild2027/heico-ai-internship-summer-2026/blob/srv/tiff/trace_net_v2_gemma_summary_sample_runner_v1.py</x:v>
      </x:c>
      <x:c r="AB536" s="69" t="str">
        <x:v>shared &lt;= string:contract, string:dublin_core, string:helper, string:source_id; ingestion &lt;= path:tiff, import:tiff, string:tiff; ocr &lt;= symbol:ocr, string:fishnet, string:ocr; graph &lt;= string:community, string:leiden; embeddings &lt;= string:qdrant; retrieval &lt;= string:opensearch, string:retriev</x:v>
      </x:c>
    </x:row>
    <x:row r="537">
      <x:c r="A537" s="68" t="n">
        <x:v>536</x:v>
      </x:c>
      <x:c r="B537" s="69" t="str">
        <x:v>tiff/trace_net_v2_sample_runner_simple_v1.py</x:v>
      </x:c>
      <x:c r="C537" s="69" t="str">
        <x:v>trace_net_v2_sample_runner_simple_v1.py</x:v>
      </x:c>
      <x:c r="D537" s="69" t="str">
        <x:v>ingestion</x:v>
      </x:c>
      <x:c r="E537" s="69" t="str">
        <x:v>context, benchmarks</x:v>
      </x:c>
      <x:c r="F537" s="69" t="str">
        <x:v>ingestion</x:v>
      </x:c>
      <x:c r="G537" s="69" t="str">
        <x:v>src/trace_net/ingestion/</x:v>
      </x:c>
      <x:c r="H537" s="69" t="str">
        <x:v>src/trace_net/ingestion/trace_net_v2_sample_runner_simple_v1.py</x:v>
      </x:c>
      <x:c r="I537" s="69" t="str">
        <x:v>active library module</x:v>
      </x:c>
      <x:c r="J537" s="69" t="str">
        <x:v>MOVE_WITH_IMPORT_UPDATES_AND_COMPATIBILITY_WRAPPER</x:v>
      </x:c>
      <x:c r="K537" s="70" t="b">
        <x:v>1</x:v>
      </x:c>
      <x:c r="L537" s="70" t="b">
        <x:v>0</x:v>
      </x:c>
      <x:c r="M537" s="70" t="b">
        <x:v>1</x:v>
      </x:c>
      <x:c r="N537" s="69" t="n">
        <x:v>3</x:v>
      </x:c>
      <x:c r="O537" s="69" t="n">
        <x:v>0</x:v>
      </x:c>
      <x:c r="P537" s="69" t="str">
        <x:v>scripts/build_trace_net_v2_sample_runner_simple_v1.py; scripts/check_trace_net_v2_sample_runner_simple_v1_quality.py; tests/unit/test_trace_net_v2_sample_runner_simple_v1.py</x:v>
      </x:c>
      <x:c r="Q537" s="71" t="n">
        <x:v>0.95</x:v>
      </x:c>
      <x:c r="R537" s="69" t="str">
        <x:v>inventory stage: ingestion</x:v>
      </x:c>
      <x:c r="S537" s="69" t="str">
        <x:v>Primary implementation belongs to the ingestion stage based on filename, imports, and inventory evidence.</x:v>
      </x:c>
      <x:c r="T537" s="69" t="str">
        <x:v>Update imports and retain the old tiff module as a wrapper when callers exist.</x:v>
      </x:c>
      <x:c r="U537" s="69" t="str"/>
      <x:c r="V537" s="69" t="str">
        <x:v>TRACE_NET_V2_SAMPLE_BUILT, TRACE_NET_V2_SAMPLE_QUALITY_CHECKED</x:v>
      </x:c>
      <x:c r="W537" s="69" t="str"/>
      <x:c r="X537" s="72" t="n">
        <x:v>15873</x:v>
      </x:c>
      <x:c r="Y537" s="70" t="b">
        <x:v>1</x:v>
      </x:c>
      <x:c r="Z537" s="69" t="str">
        <x:v>Compatibility required</x:v>
      </x:c>
      <x:c r="AA537" s="69" t="str">
        <x:v>https://github.com/jwild2027/heico-ai-internship-summer-2026/blob/srv/tiff/trace_net_v2_sample_runner_simple_v1.py</x:v>
      </x:c>
      <x:c r="AB537" s="69" t="str">
        <x:v>shared &lt;= string:contract, string:dublin_core, string:identifier; ingestion &lt;= path:tiff, import:tiff, string:tiff; ocr &lt;= string:ocr; graph &lt;= string:community, string:leiden; embeddings &lt;= string:qdrant; retrieval &lt;= string:opensearch, string:retriev</x:v>
      </x:c>
    </x:row>
    <x:row r="538">
      <x:c r="A538" s="68" t="n">
        <x:v>537</x:v>
      </x:c>
      <x:c r="B538" s="69" t="str">
        <x:v>tiff/trace_net_v2_summary_guidance_index_v1.py</x:v>
      </x:c>
      <x:c r="C538" s="69" t="str">
        <x:v>trace_net_v2_summary_guidance_index_v1.py</x:v>
      </x:c>
      <x:c r="D538" s="69" t="str">
        <x:v>context</x:v>
      </x:c>
      <x:c r="E538" s="69" t="str">
        <x:v>ingestion</x:v>
      </x:c>
      <x:c r="F538" s="69" t="str">
        <x:v>context</x:v>
      </x:c>
      <x:c r="G538" s="69" t="str">
        <x:v>src/trace_net/context/</x:v>
      </x:c>
      <x:c r="H538" s="69" t="str">
        <x:v>src/trace_net/context/trace_net_v2_summary_guidance_index_v1.py</x:v>
      </x:c>
      <x:c r="I538" s="69" t="str">
        <x:v>artifact builder implementation</x:v>
      </x:c>
      <x:c r="J538" s="69" t="str">
        <x:v>MOVE_WITH_IMPORT_UPDATES_AND_COMPATIBILITY_WRAPPER</x:v>
      </x:c>
      <x:c r="K538" s="70" t="b">
        <x:v>1</x:v>
      </x:c>
      <x:c r="L538" s="70" t="b">
        <x:v>0</x:v>
      </x:c>
      <x:c r="M538" s="70" t="b">
        <x:v>1</x:v>
      </x:c>
      <x:c r="N538" s="69" t="n">
        <x:v>3</x:v>
      </x:c>
      <x:c r="O538" s="69" t="n">
        <x:v>0</x:v>
      </x:c>
      <x:c r="P538" s="69" t="str">
        <x:v>scripts/build_trace_net_v2_summary_guidance_index_v1.py; scripts/check_trace_net_v2_summary_guidance_index_v1.py; tests/unit/test_trace_net_v2_summary_guidance_index_v1.py</x:v>
      </x:c>
      <x:c r="Q538" s="71" t="n">
        <x:v>0.96</x:v>
      </x:c>
      <x:c r="R538" s="69" t="str">
        <x:v>inventory stage: context</x:v>
      </x:c>
      <x:c r="S538" s="69" t="str">
        <x:v>Build implementation is imported by active wrappers/tests and belongs to the context package.</x:v>
      </x:c>
      <x:c r="T538" s="69" t="str">
        <x:v>Update wrapper imports and compare generated artifact counts/checksums.</x:v>
      </x:c>
      <x:c r="U538" s="69" t="str"/>
      <x:c r="V538" s="69" t="str">
        <x:v>TRACE_NET_V2_SUMMARY_GUIDANCE_INDEX_BUILT, TRACE_NET_V2_SUMMARY_GUIDANCE_INDEX_QUALITY_CHECKED</x:v>
      </x:c>
      <x:c r="W538" s="69" t="str"/>
      <x:c r="X538" s="72" t="n">
        <x:v>25003</x:v>
      </x:c>
      <x:c r="Y538" s="70" t="b">
        <x:v>1</x:v>
      </x:c>
      <x:c r="Z538" s="69" t="str">
        <x:v>Compatibility required</x:v>
      </x:c>
      <x:c r="AA538" s="69" t="str">
        <x:v>https://github.com/jwild2027/heico-ai-internship-summer-2026/blob/srv/tiff/trace_net_v2_summary_guidance_index_v1.py</x:v>
      </x:c>
      <x:c r="AB538" s="69" t="str">
        <x:v>ingestion &lt;= path:tiff, string:tiff; visual &lt;= string:callout, string:diagram, string:visual; tables &lt;= string:column, string:ipl, string:parts_list, string:table; graph &lt;= string:community; embeddings &lt;= string:qdrant; retrieval &lt;= string:opensearch, string:retriev</x:v>
      </x:c>
    </x:row>
    <x:row r="539">
      <x:c r="A539" s="68" t="n">
        <x:v>538</x:v>
      </x:c>
      <x:c r="B539" s="69" t="str">
        <x:v>tiff/trace_net_v2_summary_smoke_tester_v1.py</x:v>
      </x:c>
      <x:c r="C539" s="69" t="str">
        <x:v>trace_net_v2_summary_smoke_tester_v1.py</x:v>
      </x:c>
      <x:c r="D539" s="69" t="str">
        <x:v>context</x:v>
      </x:c>
      <x:c r="E539" s="69" t="str">
        <x:v>benchmarks, ingestion</x:v>
      </x:c>
      <x:c r="F539" s="69" t="str">
        <x:v>context</x:v>
      </x:c>
      <x:c r="G539" s="69" t="str">
        <x:v>src/trace_net/context/</x:v>
      </x:c>
      <x:c r="H539" s="69" t="str">
        <x:v>src/trace_net/context/trace_net_v2_summary_smoke_tester_v1.py</x:v>
      </x:c>
      <x:c r="I539" s="69" t="str">
        <x:v>active library module</x:v>
      </x:c>
      <x:c r="J539" s="69" t="str">
        <x:v>MOVE_WITH_IMPORT_UPDATES_AND_COMPATIBILITY_WRAPPER</x:v>
      </x:c>
      <x:c r="K539" s="70" t="b">
        <x:v>1</x:v>
      </x:c>
      <x:c r="L539" s="70" t="b">
        <x:v>0</x:v>
      </x:c>
      <x:c r="M539" s="70" t="b">
        <x:v>1</x:v>
      </x:c>
      <x:c r="N539" s="69" t="n">
        <x:v>3</x:v>
      </x:c>
      <x:c r="O539" s="69" t="n">
        <x:v>0</x:v>
      </x:c>
      <x:c r="P539" s="69" t="str">
        <x:v>scripts/build_trace_net_v2_summary_smoke_tester_v1.py; scripts/check_trace_net_v2_summary_smoke_tester_v1_quality.py; tests/unit/test_trace_net_v2_summary_smoke_tester_v1.py</x:v>
      </x:c>
      <x:c r="Q539" s="71" t="n">
        <x:v>0.95</x:v>
      </x:c>
      <x:c r="R539" s="69" t="str">
        <x:v>inventory stage: context</x:v>
      </x:c>
      <x:c r="S539" s="69" t="str">
        <x:v>Primary implementation belongs to the context stage based on filename, imports, and inventory evidence.</x:v>
      </x:c>
      <x:c r="T539" s="69" t="str">
        <x:v>Update imports and retain the old tiff module as a wrapper when callers exist.</x:v>
      </x:c>
      <x:c r="U539" s="69" t="str"/>
      <x:c r="V539" s="69" t="str">
        <x:v>TRACE_NET_V2_SUMMARY_SMOKE_TEST_BUILT, TRACE_NET_V2_SUMMARY_SMOKE_TEST_QUALITY_CHECKED</x:v>
      </x:c>
      <x:c r="W539" s="69" t="str"/>
      <x:c r="X539" s="72" t="n">
        <x:v>28397</x:v>
      </x:c>
      <x:c r="Y539" s="70" t="b">
        <x:v>1</x:v>
      </x:c>
      <x:c r="Z539" s="69" t="str">
        <x:v>Compatibility required</x:v>
      </x:c>
      <x:c r="AA539" s="69" t="str">
        <x:v>https://github.com/jwild2027/heico-ai-internship-summer-2026/blob/srv/tiff/trace_net_v2_summary_smoke_tester_v1.py</x:v>
      </x:c>
      <x:c r="AB539" s="69" t="str">
        <x:v>shared &lt;= string:contract, string:helper, string:identifier, string:schema; ingestion &lt;= path:tiff, import:tiff, string:tiff; ocr &lt;= string:ocr; visual &lt;= string:callout; tables &lt;= string:table; embeddings &lt;= string:qdrant</x:v>
      </x:c>
    </x:row>
    <x:row r="540">
      <x:c r="A540" s="68" t="n">
        <x:v>539</x:v>
      </x:c>
      <x:c r="B540" s="69" t="str">
        <x:v>tiff/trace_net_v3_page_intelligence_cards_v1.py</x:v>
      </x:c>
      <x:c r="C540" s="69" t="str">
        <x:v>trace_net_v3_page_intelligence_cards_v1.py</x:v>
      </x:c>
      <x:c r="D540" s="69" t="str">
        <x:v>context</x:v>
      </x:c>
      <x:c r="E540" s="69" t="str">
        <x:v>benchmarks</x:v>
      </x:c>
      <x:c r="F540" s="69" t="str">
        <x:v>context</x:v>
      </x:c>
      <x:c r="G540" s="69" t="str">
        <x:v>src/trace_net/context/</x:v>
      </x:c>
      <x:c r="H540" s="69" t="str">
        <x:v>src/trace_net/context/trace_net_v3_page_intelligence_cards_v1.py</x:v>
      </x:c>
      <x:c r="I540" s="69" t="str">
        <x:v>artifact builder implementation</x:v>
      </x:c>
      <x:c r="J540" s="69" t="str">
        <x:v>MOVE_WITH_IMPORT_UPDATES_AND_COMPATIBILITY_WRAPPER</x:v>
      </x:c>
      <x:c r="K540" s="70" t="b">
        <x:v>1</x:v>
      </x:c>
      <x:c r="L540" s="70" t="b">
        <x:v>0</x:v>
      </x:c>
      <x:c r="M540" s="70" t="b">
        <x:v>1</x:v>
      </x:c>
      <x:c r="N540" s="69" t="n">
        <x:v>3</x:v>
      </x:c>
      <x:c r="O540" s="69" t="n">
        <x:v>0</x:v>
      </x:c>
      <x:c r="P540" s="69" t="str">
        <x:v>scripts/build_trace_net_v3_page_intelligence_cards_v1.py; scripts/check_trace_net_v3_page_intelligence_cards_v1_quality.py; tests/unit/test_trace_net_v3_page_intelligence_cards_v1.py</x:v>
      </x:c>
      <x:c r="Q540" s="71" t="n">
        <x:v>0.96</x:v>
      </x:c>
      <x:c r="R540" s="69" t="str">
        <x:v>inventory stage: context</x:v>
      </x:c>
      <x:c r="S540" s="69" t="str">
        <x:v>Build implementation is imported by active wrappers/tests and belongs to the context package.</x:v>
      </x:c>
      <x:c r="T540" s="69" t="str">
        <x:v>Update wrapper imports and compare generated artifact counts/checksums.</x:v>
      </x:c>
      <x:c r="U540" s="69" t="str"/>
      <x:c r="V540" s="69" t="str"/>
      <x:c r="W540" s="69" t="str"/>
      <x:c r="X540" s="72" t="n">
        <x:v>28724</x:v>
      </x:c>
      <x:c r="Y540" s="70" t="b">
        <x:v>1</x:v>
      </x:c>
      <x:c r="Z540" s="69" t="str">
        <x:v>Compatibility required</x:v>
      </x:c>
      <x:c r="AA540" s="69" t="str">
        <x:v>https://github.com/jwild2027/heico-ai-internship-summer-2026/blob/srv/tiff/trace_net_v3_page_intelligence_cards_v1.py</x:v>
      </x:c>
      <x:c r="AB540" s="69" t="str">
        <x:v>shared &lt;= string:contract, string:schema, string:source_id; ingestion &lt;= path:tiff; ocr &lt;= symbol:fishnet, string:fishnet, string:ocr; tables &lt;= symbol:table; graph &lt;= symbol:graph, string:graph; embeddings &lt;= string:qdrant</x:v>
      </x:c>
    </x:row>
    <x:row r="541">
      <x:c r="A541" s="68" t="n">
        <x:v>540</x:v>
      </x:c>
      <x:c r="B541" s="69" t="str">
        <x:v>tiff/trace_net_vector_search_smoke_v1.py</x:v>
      </x:c>
      <x:c r="C541" s="69" t="str">
        <x:v>trace_net_vector_search_smoke_v1.py</x:v>
      </x:c>
      <x:c r="D541" s="69" t="str">
        <x:v>benchmarks</x:v>
      </x:c>
      <x:c r="E541" s="69" t="str">
        <x:v>embeddings, serving, ingestion</x:v>
      </x:c>
      <x:c r="F541" s="69" t="str">
        <x:v>retrieval</x:v>
      </x:c>
      <x:c r="G541" s="69" t="str">
        <x:v>src/trace_net/retrieval/</x:v>
      </x:c>
      <x:c r="H541" s="69" t="str">
        <x:v>src/trace_net/retrieval/trace_net_vector_search_smoke_v1.py</x:v>
      </x:c>
      <x:c r="I541" s="69" t="str">
        <x:v>active library module</x:v>
      </x:c>
      <x:c r="J541" s="69" t="str">
        <x:v>MOVE_WITH_PROTECTED_COMPATIBILITY_WRAPPER</x:v>
      </x:c>
      <x:c r="K541" s="70" t="b">
        <x:v>1</x:v>
      </x:c>
      <x:c r="L541" s="70" t="b">
        <x:v>1</x:v>
      </x:c>
      <x:c r="M541" s="70" t="b">
        <x:v>1</x:v>
      </x:c>
      <x:c r="N541" s="69" t="n">
        <x:v>2</x:v>
      </x:c>
      <x:c r="O541" s="69" t="n">
        <x:v>0</x:v>
      </x:c>
      <x:c r="P541" s="69" t="str">
        <x:v>scripts/check_trace_net_vector_search_smoke_v1_quality.py; scripts/run_trace_net_vector_search_smoke_v1.py</x:v>
      </x:c>
      <x:c r="Q541" s="71" t="n">
        <x:v>0.95</x:v>
      </x:c>
      <x:c r="R541" s="69" t="str">
        <x:v>retrieval/search naming</x:v>
      </x:c>
      <x:c r="S541" s="69" t="str">
        <x:v>Primary implementation belongs to the retrieval stage based on filename, imports, and inventory evidence.</x:v>
      </x:c>
      <x:c r="T541" s="69" t="str">
        <x:v>Update imports and retain the old tiff module as a wrapper when callers exist.</x:v>
      </x:c>
      <x:c r="U541" s="69" t="str">
        <x:v>11434</x:v>
      </x:c>
      <x:c r="V541" s="69" t="str">
        <x:v>TRACE_NET_EMBEDDING_DEVICE, TRACE_NET_EMBEDDING_DIM, TRACE_NET_EMBEDDING_MODE, TRACE_NET_EMBEDDING_MODEL, TRACE_NET_OLLAMA_EMBED_ENDPOINT, TRACE_NET_OLLAMA_TIMEOUT, TRACE_NET_OLLAMA_URL, TRACE_NET_PAGE_PROFILE_QDRANT_COLLECTION, TRACE_NET_QDRANT_COLLECTION</x:v>
      </x:c>
      <x:c r="W541" s="69" t="str"/>
      <x:c r="X541" s="72" t="n">
        <x:v>44984</x:v>
      </x:c>
      <x:c r="Y541" s="70" t="b">
        <x:v>1</x:v>
      </x:c>
      <x:c r="Z541" s="69" t="str">
        <x:v>Protected runtime</x:v>
      </x:c>
      <x:c r="AA541" s="69" t="str">
        <x:v>https://github.com/jwild2027/heico-ai-internship-summer-2026/blob/srv/tiff/trace_net_vector_search_smoke_v1.py</x:v>
      </x:c>
      <x:c r="AB541" s="69" t="str">
        <x:v>shared &lt;= string:contract, string:helper, string:schema, string:trust_tier; ingestion &lt;= path:tiff, import:tiff, string:tiff; ocr &lt;= string:ocr; visual &lt;= string:callout, string:diagram, string:vision, string:visual; tables &lt;= string:table; embeddings &lt;= symbol:embedding, string:bge_m3, string:embedding, string:embedding_candidate, string:qdrant, environment:embedding, environment:qdrant</x:v>
      </x:c>
    </x:row>
    <x:row r="542">
      <x:c r="A542" s="68" t="n">
        <x:v>541</x:v>
      </x:c>
      <x:c r="B542" s="69" t="str">
        <x:v>tiff/trace_net_vision_model_pilot_v1.py</x:v>
      </x:c>
      <x:c r="C542" s="69" t="str">
        <x:v>trace_net_vision_model_pilot_v1.py</x:v>
      </x:c>
      <x:c r="D542" s="69" t="str">
        <x:v>visual</x:v>
      </x:c>
      <x:c r="E542" s="69" t="str">
        <x:v>ingestion</x:v>
      </x:c>
      <x:c r="F542" s="69" t="str">
        <x:v>visual</x:v>
      </x:c>
      <x:c r="G542" s="69" t="str">
        <x:v>src/trace_net/visual/</x:v>
      </x:c>
      <x:c r="H542" s="69" t="str">
        <x:v>src/trace_net/visual/trace_net_vision_model_pilot_v1.py</x:v>
      </x:c>
      <x:c r="I542" s="69" t="str">
        <x:v>active library module</x:v>
      </x:c>
      <x:c r="J542" s="69" t="str">
        <x:v>MOVE_WITH_PROTECTED_COMPATIBILITY_WRAPPER</x:v>
      </x:c>
      <x:c r="K542" s="70" t="b">
        <x:v>1</x:v>
      </x:c>
      <x:c r="L542" s="70" t="b">
        <x:v>1</x:v>
      </x:c>
      <x:c r="M542" s="70" t="b">
        <x:v>1</x:v>
      </x:c>
      <x:c r="N542" s="69" t="n">
        <x:v>4</x:v>
      </x:c>
      <x:c r="O542" s="69" t="n">
        <x:v>0</x:v>
      </x:c>
      <x:c r="P542" s="69" t="str">
        <x:v>scripts/build_trace_net_vision_model_pilot_v1.py; scripts/check_trace_net_vision_model_pilot_v1_quality.py; tests/unit/test_trace_net_vision_model_pilot_v1.py; tests/unit/test_trace_net_vision_model_pilot_v1_quality.py</x:v>
      </x:c>
      <x:c r="Q542" s="71" t="n">
        <x:v>0.95</x:v>
      </x:c>
      <x:c r="R542" s="69" t="str">
        <x:v>visual/image/vision naming</x:v>
      </x:c>
      <x:c r="S542" s="69" t="str">
        <x:v>Primary implementation belongs to the visual stage based on filename, imports, and inventory evidence.</x:v>
      </x:c>
      <x:c r="T542" s="69" t="str">
        <x:v>Update imports and retain the old tiff module as a wrapper when callers exist.</x:v>
      </x:c>
      <x:c r="U542" s="69" t="str">
        <x:v>11434</x:v>
      </x:c>
      <x:c r="V542" s="69" t="str"/>
      <x:c r="W542" s="69" t="str"/>
      <x:c r="X542" s="72" t="n">
        <x:v>44365</x:v>
      </x:c>
      <x:c r="Y542" s="70" t="b">
        <x:v>1</x:v>
      </x:c>
      <x:c r="Z542" s="69" t="str">
        <x:v>Protected runtime</x:v>
      </x:c>
      <x:c r="AA542" s="69" t="str">
        <x:v>https://github.com/jwild2027/heico-ai-internship-summer-2026/blob/srv/tiff/trace_net_vision_model_pilot_v1.py</x:v>
      </x:c>
      <x:c r="AB542" s="69" t="str">
        <x:v>shared &lt;= string:helper, string:schema; ingestion &lt;= path:tiff, string:page_image, string:tiff; ocr &lt;= string:ocr; visual &lt;= path:vision, symbol:vision, symbol:visual, string:callout, string:diagram, string:llava, string:vision; tables &lt;= symbol:table, string:parts_list, string:table; graph &lt;= string:graph</x:v>
      </x:c>
    </x:row>
    <x:row r="543">
      <x:c r="A543" s="68" t="n">
        <x:v>542</x:v>
      </x:c>
      <x:c r="B543" s="69" t="str">
        <x:v>tiff/trace_net_visual_callout_table_linker_v1.py</x:v>
      </x:c>
      <x:c r="C543" s="69" t="str">
        <x:v>trace_net_visual_callout_table_linker_v1.py</x:v>
      </x:c>
      <x:c r="D543" s="69" t="str">
        <x:v>visual</x:v>
      </x:c>
      <x:c r="E543" s="69" t="str">
        <x:v>tables, ingestion</x:v>
      </x:c>
      <x:c r="F543" s="69" t="str">
        <x:v>tables</x:v>
      </x:c>
      <x:c r="G543" s="69" t="str">
        <x:v>src/trace_net/tables/</x:v>
      </x:c>
      <x:c r="H543" s="69" t="str">
        <x:v>src/trace_net/tables/trace_net_visual_callout_table_linker_v1.py</x:v>
      </x:c>
      <x:c r="I543" s="69" t="str">
        <x:v>active library module</x:v>
      </x:c>
      <x:c r="J543" s="69" t="str">
        <x:v>MOVE_WITH_IMPORT_UPDATES_AND_COMPATIBILITY_WRAPPER</x:v>
      </x:c>
      <x:c r="K543" s="70" t="b">
        <x:v>1</x:v>
      </x:c>
      <x:c r="L543" s="70" t="b">
        <x:v>0</x:v>
      </x:c>
      <x:c r="M543" s="70" t="b">
        <x:v>1</x:v>
      </x:c>
      <x:c r="N543" s="69" t="n">
        <x:v>2</x:v>
      </x:c>
      <x:c r="O543" s="69" t="n">
        <x:v>0</x:v>
      </x:c>
      <x:c r="P543" s="69" t="str">
        <x:v>scripts/build_trace_net_visual_callout_table_linker_v1.py; tests/unit/test_trace_net_llava_visual_summary_batch_and_linker_v1.py</x:v>
      </x:c>
      <x:c r="Q543" s="71" t="n">
        <x:v>0.95</x:v>
      </x:c>
      <x:c r="R543" s="69" t="str">
        <x:v>table pipeline naming</x:v>
      </x:c>
      <x:c r="S543" s="69" t="str">
        <x:v>Primary implementation belongs to the tables stage based on filename, imports, and inventory evidence.</x:v>
      </x:c>
      <x:c r="T543" s="69" t="str">
        <x:v>Update imports and retain the old tiff module as a wrapper when callers exist.</x:v>
      </x:c>
      <x:c r="U543" s="69" t="str"/>
      <x:c r="V543" s="69" t="str">
        <x:v>TRACE_NET_VISUAL_CALLOUT_TABLE_LINKER_BUILT</x:v>
      </x:c>
      <x:c r="W543" s="69" t="str">
        <x:v>tiff/trace_net_visual_callout_table_linker_v2.py</x:v>
      </x:c>
      <x:c r="X543" s="72" t="n">
        <x:v>43173</x:v>
      </x:c>
      <x:c r="Y543" s="70" t="b">
        <x:v>1</x:v>
      </x:c>
      <x:c r="Z543" s="69" t="str">
        <x:v>Compatibility required</x:v>
      </x:c>
      <x:c r="AA543" s="69" t="str">
        <x:v>https://github.com/jwild2027/heico-ai-internship-summer-2026/blob/srv/tiff/trace_net_visual_callout_table_linker_v1.py</x:v>
      </x:c>
      <x:c r="AB543" s="69" t="str">
        <x:v>shared &lt;= string:contract; ingestion &lt;= path:tiff, symbol:extract_page, string:scan_pack; ocr &lt;= string:ocr; visual &lt;= path:callout, path:visual, symbol:callout, symbol:visual, string:callout, string:llava, string:visual, environment:callout; tables &lt;= path:table, symbol:table, symbol:table_row, string:table, environment:table; embeddings &lt;= string:qdrant</x:v>
      </x:c>
    </x:row>
    <x:row r="544">
      <x:c r="A544" s="68" t="n">
        <x:v>543</x:v>
      </x:c>
      <x:c r="B544" s="69" t="str">
        <x:v>tiff/trace_net_visual_callout_table_linker_v1_check.py</x:v>
      </x:c>
      <x:c r="C544" s="69" t="str">
        <x:v>trace_net_visual_callout_table_linker_v1_check.py</x:v>
      </x:c>
      <x:c r="D544" s="69" t="str">
        <x:v>visual</x:v>
      </x:c>
      <x:c r="E544" s="69" t="str">
        <x:v>tables</x:v>
      </x:c>
      <x:c r="F544" s="69" t="str">
        <x:v>tables</x:v>
      </x:c>
      <x:c r="G544" s="69" t="str">
        <x:v>src/trace_net/tables/</x:v>
      </x:c>
      <x:c r="H544" s="69" t="str">
        <x:v>src/trace_net/tables/trace_net_visual_callout_table_linker_v1_check.py</x:v>
      </x:c>
      <x:c r="I544" s="69" t="str">
        <x:v>verification implementation module</x:v>
      </x:c>
      <x:c r="J544" s="69" t="str">
        <x:v>MOVE_WITH_IMPORT_UPDATES_AND_COMPATIBILITY_WRAPPER</x:v>
      </x:c>
      <x:c r="K544" s="70" t="b">
        <x:v>1</x:v>
      </x:c>
      <x:c r="L544" s="70" t="b">
        <x:v>0</x:v>
      </x:c>
      <x:c r="M544" s="70" t="b">
        <x:v>1</x:v>
      </x:c>
      <x:c r="N544" s="69" t="n">
        <x:v>2</x:v>
      </x:c>
      <x:c r="O544" s="69" t="n">
        <x:v>0</x:v>
      </x:c>
      <x:c r="P544" s="69" t="str">
        <x:v>scripts/check_trace_net_visual_callout_table_linker_v1.py; tests/unit/test_trace_net_llava_visual_summary_batch_and_linker_v1.py</x:v>
      </x:c>
      <x:c r="Q544" s="71" t="n">
        <x:v>0.96</x:v>
      </x:c>
      <x:c r="R544" s="69" t="str">
        <x:v>table pipeline naming</x:v>
      </x:c>
      <x:c r="S544" s="69" t="str">
        <x:v>Check implementation is imported by active scripts/tests and belongs with tables code.</x:v>
      </x:c>
      <x:c r="T544" s="69" t="str">
        <x:v>Update check wrapper imports and preserve old tiff path until the check passes.</x:v>
      </x:c>
      <x:c r="U544" s="69" t="str"/>
      <x:c r="V544" s="69" t="str">
        <x:v>TRACE_NET_VISUAL_CALLOUT_TABLE_LINKER_BUILT</x:v>
      </x:c>
      <x:c r="W544" s="69" t="str">
        <x:v>tiff/trace_net_visual_callout_table_linker_v2_check.py</x:v>
      </x:c>
      <x:c r="X544" s="72" t="n">
        <x:v>6533</x:v>
      </x:c>
      <x:c r="Y544" s="70" t="b">
        <x:v>1</x:v>
      </x:c>
      <x:c r="Z544" s="69" t="str">
        <x:v>Compatibility required</x:v>
      </x:c>
      <x:c r="AA544" s="69" t="str">
        <x:v>https://github.com/jwild2027/heico-ai-internship-summer-2026/blob/srv/tiff/trace_net_visual_callout_table_linker_v1_check.py</x:v>
      </x:c>
      <x:c r="AB544" s="69" t="str">
        <x:v>shared &lt;= string:contract; ingestion &lt;= path:tiff; visual &lt;= path:callout, path:visual, string:callout, string:visual, environment:callout, environment:visual; tables &lt;= path:table, string:table, environment:table; embeddings &lt;= string:qdrant; retrieval &lt;= string:opensearch</x:v>
      </x:c>
    </x:row>
    <x:row r="545">
      <x:c r="A545" s="68" t="n">
        <x:v>544</x:v>
      </x:c>
      <x:c r="B545" s="69" t="str">
        <x:v>tiff/trace_net_visual_callout_table_linker_v2.py</x:v>
      </x:c>
      <x:c r="C545" s="69" t="str">
        <x:v>trace_net_visual_callout_table_linker_v2.py</x:v>
      </x:c>
      <x:c r="D545" s="69" t="str">
        <x:v>visual</x:v>
      </x:c>
      <x:c r="E545" s="69" t="str">
        <x:v>tables, ingestion</x:v>
      </x:c>
      <x:c r="F545" s="69" t="str">
        <x:v>tables</x:v>
      </x:c>
      <x:c r="G545" s="69" t="str">
        <x:v>src/trace_net/tables/</x:v>
      </x:c>
      <x:c r="H545" s="69" t="str">
        <x:v>src/trace_net/tables/trace_net_visual_callout_table_linker_v2.py</x:v>
      </x:c>
      <x:c r="I545" s="69" t="str">
        <x:v>active library module</x:v>
      </x:c>
      <x:c r="J545" s="69" t="str">
        <x:v>MOVE_WITH_IMPORT_UPDATES_AND_COMPATIBILITY_WRAPPER</x:v>
      </x:c>
      <x:c r="K545" s="70" t="b">
        <x:v>1</x:v>
      </x:c>
      <x:c r="L545" s="70" t="b">
        <x:v>0</x:v>
      </x:c>
      <x:c r="M545" s="70" t="b">
        <x:v>1</x:v>
      </x:c>
      <x:c r="N545" s="69" t="n">
        <x:v>2</x:v>
      </x:c>
      <x:c r="O545" s="69" t="n">
        <x:v>0</x:v>
      </x:c>
      <x:c r="P545" s="69" t="str">
        <x:v>scripts/build_trace_net_visual_callout_table_linker_v2.py; tests/unit/test_trace_net_image_ocr_linker_upgrade_v1.py</x:v>
      </x:c>
      <x:c r="Q545" s="71" t="n">
        <x:v>0.95</x:v>
      </x:c>
      <x:c r="R545" s="69" t="str">
        <x:v>table pipeline naming</x:v>
      </x:c>
      <x:c r="S545" s="69" t="str">
        <x:v>Primary implementation belongs to the tables stage based on filename, imports, and inventory evidence.</x:v>
      </x:c>
      <x:c r="T545" s="69" t="str">
        <x:v>Update imports and retain the old tiff module as a wrapper when callers exist.</x:v>
      </x:c>
      <x:c r="U545" s="69" t="str"/>
      <x:c r="V545" s="69" t="str">
        <x:v>TRACE_NET_VISUAL_CALLOUT_TABLE_LINKER_V2_BUILT</x:v>
      </x:c>
      <x:c r="W545" s="69" t="str"/>
      <x:c r="X545" s="72" t="n">
        <x:v>40456</x:v>
      </x:c>
      <x:c r="Y545" s="70" t="b">
        <x:v>1</x:v>
      </x:c>
      <x:c r="Z545" s="69" t="str">
        <x:v>Compatibility required</x:v>
      </x:c>
      <x:c r="AA545" s="69" t="str">
        <x:v>https://github.com/jwild2027/heico-ai-internship-summer-2026/blob/srv/tiff/trace_net_visual_callout_table_linker_v2.py</x:v>
      </x:c>
      <x:c r="AB545" s="69" t="str">
        <x:v>shared &lt;= string:contract; ingestion &lt;= path:tiff, symbol:extract_page, string:tiff; ocr &lt;= string:ocr; visual &lt;= path:callout, path:visual, symbol:callout, symbol:visual, string:callout, string:llava, string:visual, environment:callout; tables &lt;= path:table, symbol:table, symbol:table_row, string:ipl, string:table, environment:table; embeddings &lt;= string:qdrant</x:v>
      </x:c>
    </x:row>
    <x:row r="546">
      <x:c r="A546" s="68" t="n">
        <x:v>545</x:v>
      </x:c>
      <x:c r="B546" s="69" t="str">
        <x:v>tiff/trace_net_visual_callout_table_linker_v2_check.py</x:v>
      </x:c>
      <x:c r="C546" s="69" t="str">
        <x:v>trace_net_visual_callout_table_linker_v2_check.py</x:v>
      </x:c>
      <x:c r="D546" s="69" t="str">
        <x:v>visual</x:v>
      </x:c>
      <x:c r="E546" s="69" t="str">
        <x:v>tables, benchmarks</x:v>
      </x:c>
      <x:c r="F546" s="69" t="str">
        <x:v>tables</x:v>
      </x:c>
      <x:c r="G546" s="69" t="str">
        <x:v>src/trace_net/tables/</x:v>
      </x:c>
      <x:c r="H546" s="69" t="str">
        <x:v>src/trace_net/tables/trace_net_visual_callout_table_linker_v2_check.py</x:v>
      </x:c>
      <x:c r="I546" s="69" t="str">
        <x:v>verification implementation module</x:v>
      </x:c>
      <x:c r="J546" s="69" t="str">
        <x:v>MOVE_WITH_IMPORT_UPDATES_AND_COMPATIBILITY_WRAPPER</x:v>
      </x:c>
      <x:c r="K546" s="70" t="b">
        <x:v>1</x:v>
      </x:c>
      <x:c r="L546" s="70" t="b">
        <x:v>0</x:v>
      </x:c>
      <x:c r="M546" s="70" t="b">
        <x:v>1</x:v>
      </x:c>
      <x:c r="N546" s="69" t="n">
        <x:v>2</x:v>
      </x:c>
      <x:c r="O546" s="69" t="n">
        <x:v>0</x:v>
      </x:c>
      <x:c r="P546" s="69" t="str">
        <x:v>scripts/check_trace_net_visual_callout_table_linker_v2.py; tests/unit/test_trace_net_image_ocr_linker_upgrade_v1.py</x:v>
      </x:c>
      <x:c r="Q546" s="71" t="n">
        <x:v>0.96</x:v>
      </x:c>
      <x:c r="R546" s="69" t="str">
        <x:v>table pipeline naming</x:v>
      </x:c>
      <x:c r="S546" s="69" t="str">
        <x:v>Check implementation is imported by active scripts/tests and belongs with tables code.</x:v>
      </x:c>
      <x:c r="T546" s="69" t="str">
        <x:v>Update check wrapper imports and preserve old tiff path until the check passes.</x:v>
      </x:c>
      <x:c r="U546" s="69" t="str"/>
      <x:c r="V546" s="69" t="str">
        <x:v>TRACE_NET_VISUAL_CALLOUT_TABLE_LINKER_V2_QUALITY_CHECKED</x:v>
      </x:c>
      <x:c r="W546" s="69" t="str"/>
      <x:c r="X546" s="72" t="n">
        <x:v>6132</x:v>
      </x:c>
      <x:c r="Y546" s="70" t="b">
        <x:v>1</x:v>
      </x:c>
      <x:c r="Z546" s="69" t="str">
        <x:v>Compatibility required</x:v>
      </x:c>
      <x:c r="AA546" s="69" t="str">
        <x:v>https://github.com/jwild2027/heico-ai-internship-summer-2026/blob/srv/tiff/trace_net_visual_callout_table_linker_v2_check.py</x:v>
      </x:c>
      <x:c r="AB546" s="69" t="str">
        <x:v>ingestion &lt;= path:tiff; visual &lt;= path:callout, path:visual, string:callout, string:visual, environment:callout, environment:visual; tables &lt;= path:table, string:table, environment:table; context &lt;= string:evidence_pack, string:source_trace; serving &lt;= string:serve, string:sse; benchmarks &lt;= symbol:eval, string:quality_check, environment:quality_check</x:v>
      </x:c>
    </x:row>
    <x:row r="547">
      <x:c r="A547" s="68" t="n">
        <x:v>546</x:v>
      </x:c>
      <x:c r="B547" s="69" t="str">
        <x:v>tiff/trace_net_visual_ink_layout_calibrator_v1.py</x:v>
      </x:c>
      <x:c r="C547" s="69" t="str">
        <x:v>trace_net_visual_ink_layout_calibrator_v1.py</x:v>
      </x:c>
      <x:c r="D547" s="69" t="str">
        <x:v>visual</x:v>
      </x:c>
      <x:c r="E547" s="69" t="str">
        <x:v>ingestion, shared, tables, ocr</x:v>
      </x:c>
      <x:c r="F547" s="69" t="str">
        <x:v>visual</x:v>
      </x:c>
      <x:c r="G547" s="69" t="str">
        <x:v>src/trace_net/visual/</x:v>
      </x:c>
      <x:c r="H547" s="69" t="str">
        <x:v>src/trace_net/visual/trace_net_visual_ink_layout_calibrator_v1.py</x:v>
      </x:c>
      <x:c r="I547" s="69" t="str">
        <x:v>active library module</x:v>
      </x:c>
      <x:c r="J547" s="69" t="str">
        <x:v>MOVE_WITH_IMPORT_UPDATES_AND_COMPATIBILITY_WRAPPER</x:v>
      </x:c>
      <x:c r="K547" s="70" t="b">
        <x:v>1</x:v>
      </x:c>
      <x:c r="L547" s="70" t="b">
        <x:v>0</x:v>
      </x:c>
      <x:c r="M547" s="70" t="b">
        <x:v>1</x:v>
      </x:c>
      <x:c r="N547" s="69" t="n">
        <x:v>2</x:v>
      </x:c>
      <x:c r="O547" s="69" t="n">
        <x:v>0</x:v>
      </x:c>
      <x:c r="P547" s="69" t="str">
        <x:v>scripts/build_trace_net_visual_ink_layout_calibrator_v1.py; scripts/check_trace_net_visual_ink_layout_calibrator_v1_quality.py</x:v>
      </x:c>
      <x:c r="Q547" s="71" t="n">
        <x:v>0.95</x:v>
      </x:c>
      <x:c r="R547" s="69" t="str">
        <x:v>visual/image/vision naming</x:v>
      </x:c>
      <x:c r="S547" s="69" t="str">
        <x:v>Primary implementation belongs to the visual stage based on filename, imports, and inventory evidence.</x:v>
      </x:c>
      <x:c r="T547" s="69" t="str">
        <x:v>Update imports and retain the old tiff module as a wrapper when callers exist.</x:v>
      </x:c>
      <x:c r="U547" s="69" t="str"/>
      <x:c r="V547" s="69" t="str"/>
      <x:c r="W547" s="69" t="str"/>
      <x:c r="X547" s="72" t="n">
        <x:v>50242</x:v>
      </x:c>
      <x:c r="Y547" s="70" t="b">
        <x:v>1</x:v>
      </x:c>
      <x:c r="Z547" s="69" t="str">
        <x:v>Compatibility required</x:v>
      </x:c>
      <x:c r="AA547" s="69" t="str">
        <x:v>https://github.com/jwild2027/heico-ai-internship-summer-2026/blob/srv/tiff/trace_net_visual_ink_layout_calibrator_v1.py</x:v>
      </x:c>
      <x:c r="AB547" s="69" t="str">
        <x:v>shared &lt;= import:contract, string:contract, string:helper, string:schema, string:trust_tier; ingestion &lt;= path:tiff, import:tiff, string:tiff; ocr &lt;= symbol:fishnet, string:fishnet, string:ocr; visual &lt;= path:visual, symbol:visual, string:diagram, string:vision, string:visual; tables &lt;= symbol:table, string:parts_list, string:table, string:table_cell; graph &lt;= string:graph</x:v>
      </x:c>
    </x:row>
    <x:row r="548">
      <x:c r="A548" s="68" t="n">
        <x:v>547</x:v>
      </x:c>
      <x:c r="B548" s="69" t="str">
        <x:v>tiff/trace_net_visual_part_nomenclature_enricher_v1.py</x:v>
      </x:c>
      <x:c r="C548" s="69" t="str">
        <x:v>trace_net_visual_part_nomenclature_enricher_v1.py</x:v>
      </x:c>
      <x:c r="D548" s="69" t="str">
        <x:v>visual</x:v>
      </x:c>
      <x:c r="E548" s="69" t="str">
        <x:v>ingestion</x:v>
      </x:c>
      <x:c r="F548" s="69" t="str">
        <x:v>visual</x:v>
      </x:c>
      <x:c r="G548" s="69" t="str">
        <x:v>src/trace_net/visual/</x:v>
      </x:c>
      <x:c r="H548" s="69" t="str">
        <x:v>src/trace_net/visual/trace_net_visual_part_nomenclature_enricher_v1.py</x:v>
      </x:c>
      <x:c r="I548" s="69" t="str">
        <x:v>artifact builder implementation</x:v>
      </x:c>
      <x:c r="J548" s="69" t="str">
        <x:v>MOVE_WITH_IMPORT_UPDATES_AND_COMPATIBILITY_WRAPPER</x:v>
      </x:c>
      <x:c r="K548" s="70" t="b">
        <x:v>1</x:v>
      </x:c>
      <x:c r="L548" s="70" t="b">
        <x:v>0</x:v>
      </x:c>
      <x:c r="M548" s="70" t="b">
        <x:v>1</x:v>
      </x:c>
      <x:c r="N548" s="69" t="n">
        <x:v>3</x:v>
      </x:c>
      <x:c r="O548" s="69" t="n">
        <x:v>0</x:v>
      </x:c>
      <x:c r="P548" s="69" t="str">
        <x:v>scripts/build_trace_net_visual_part_nomenclature_enricher_v1.py; scripts/check_trace_net_visual_part_nomenclature_enricher_v1.py; tests/unit/test_trace_net_visual_part_nomenclature_enricher_v1.py</x:v>
      </x:c>
      <x:c r="Q548" s="71" t="n">
        <x:v>0.96</x:v>
      </x:c>
      <x:c r="R548" s="69" t="str">
        <x:v>visual/image/vision naming</x:v>
      </x:c>
      <x:c r="S548" s="69" t="str">
        <x:v>Build implementation is imported by active wrappers/tests and belongs to the visual package.</x:v>
      </x:c>
      <x:c r="T548" s="69" t="str">
        <x:v>Update wrapper imports and compare generated artifact counts/checksums.</x:v>
      </x:c>
      <x:c r="U548" s="69" t="str"/>
      <x:c r="V548" s="69" t="str">
        <x:v>TRACE_NET_VISUAL_PART_NOMENCLATURE_ENRICHER_BUILT, TRACE_NET_VISUAL_PART_NOMENCLATURE_ENRICHER_QUALITY_CHECKED</x:v>
      </x:c>
      <x:c r="W548" s="69" t="str"/>
      <x:c r="X548" s="72" t="n">
        <x:v>29682</x:v>
      </x:c>
      <x:c r="Y548" s="70" t="b">
        <x:v>1</x:v>
      </x:c>
      <x:c r="Z548" s="69" t="str">
        <x:v>Compatibility required</x:v>
      </x:c>
      <x:c r="AA548" s="69" t="str">
        <x:v>https://github.com/jwild2027/heico-ai-internship-summer-2026/blob/srv/tiff/trace_net_visual_part_nomenclature_enricher_v1.py</x:v>
      </x:c>
      <x:c r="AB548" s="69" t="str">
        <x:v>shared &lt;= string:contract, string:schema; ingestion &lt;= path:tiff, string:tiff; ocr &lt;= string:ocr; visual &lt;= path:visual, symbol:visual, string:callout, string:image_visual, string:llava, string:visual, environment:visual; tables &lt;= string:ipl, string:table; embeddings &lt;= string:qdrant</x:v>
      </x:c>
    </x:row>
    <x:row r="549">
      <x:c r="A549" s="68" t="n">
        <x:v>548</x:v>
      </x:c>
      <x:c r="B549" s="69" t="str">
        <x:v>tiff/trace_net_webui_self_rag_crag_bridge_v1.py</x:v>
      </x:c>
      <x:c r="C549" s="69" t="str">
        <x:v>trace_net_webui_self_rag_crag_bridge_v1.py</x:v>
      </x:c>
      <x:c r="D549" s="69" t="str">
        <x:v>validation</x:v>
      </x:c>
      <x:c r="E549" s="69" t="str">
        <x:v>serving</x:v>
      </x:c>
      <x:c r="F549" s="69" t="str">
        <x:v>serving</x:v>
      </x:c>
      <x:c r="G549" s="69" t="str">
        <x:v>src/trace_net/serving/</x:v>
      </x:c>
      <x:c r="H549" s="69" t="str">
        <x:v>src/trace_net/serving/trace_net_webui_self_rag_crag_bridge_v1.py</x:v>
      </x:c>
      <x:c r="I549" s="69" t="str">
        <x:v>serving/runtime module</x:v>
      </x:c>
      <x:c r="J549" s="69" t="str">
        <x:v>MOVE_WITH_PROTECTED_COMPATIBILITY_WRAPPER</x:v>
      </x:c>
      <x:c r="K549" s="70" t="b">
        <x:v>1</x:v>
      </x:c>
      <x:c r="L549" s="70" t="b">
        <x:v>0</x:v>
      </x:c>
      <x:c r="M549" s="70" t="b">
        <x:v>1</x:v>
      </x:c>
      <x:c r="N549" s="69" t="n">
        <x:v>7</x:v>
      </x:c>
      <x:c r="O549" s="69" t="n">
        <x:v>3</x:v>
      </x:c>
      <x:c r="P549" s="69" t="str">
        <x:v>scripts/build_trace_net_webui_self_rag_crag_bridge_v1.py; scripts/check_trace_net_webui_self_rag_crag_bridge_v1_quality.py; tests/unit/test_trace_net_webui_self_rag_crag_bridge_v1_quality.py; tiff/trace_net_engineering_webui_answer_server_v1_3_bridge_v1.py; docs/trace_net_canonical_runtime_map_v1_README.md; tests/unit/test_trace_net_canonical_runtime_map_v1.py; tiff/trace_net_canonical_runtime_map_v1.py</x:v>
      </x:c>
      <x:c r="Q549" s="71" t="n">
        <x:v>0.98</x:v>
      </x:c>
      <x:c r="R549" s="69" t="str">
        <x:v>cross-cutting validation/reliability</x:v>
      </x:c>
      <x:c r="S549" s="69" t="str">
        <x:v>API, endpoint, server, bridge, or console implementation used by runtime callers.</x:v>
      </x:c>
      <x:c r="T549" s="69" t="str">
        <x:v>Old entrypoint must remain callable; verify relevant ports and OpenWebUI behavior.</x:v>
      </x:c>
      <x:c r="U549" s="69" t="str"/>
      <x:c r="V549" s="69" t="str">
        <x:v>TRACE_NET_WEBUI_SELF_RAG_CRAG_BRIDGE_BUILT</x:v>
      </x:c>
      <x:c r="W549" s="69" t="str"/>
      <x:c r="X549" s="72" t="n">
        <x:v>34492</x:v>
      </x:c>
      <x:c r="Y549" s="70" t="b">
        <x:v>1</x:v>
      </x:c>
      <x:c r="Z549" s="69" t="str">
        <x:v>Compatibility required</x:v>
      </x:c>
      <x:c r="AA549" s="69" t="str">
        <x:v>https://github.com/jwild2027/heico-ai-internship-summer-2026/blob/srv/tiff/trace_net_webui_self_rag_crag_bridge_v1.py</x:v>
      </x:c>
      <x:c r="AB549" s="69" t="str">
        <x:v>shared &lt;= string:contract; ingestion &lt;= path:tiff, import:tiff; ocr &lt;= string:fishnet; visual &lt;= symbol:visual, string:image_route, string:image_visual, string:visual; tables &lt;= string:table; graph &lt;= string:graph, string:leiden</x:v>
      </x:c>
    </x:row>
    <x:row r="550">
      <x:c r="A550" s="68" t="n">
        <x:v>549</x:v>
      </x:c>
      <x:c r="B550" s="69" t="str">
        <x:v>tiff/trace_net_webui_visual_context_bridge_v1.py</x:v>
      </x:c>
      <x:c r="C550" s="69" t="str">
        <x:v>trace_net_webui_visual_context_bridge_v1.py</x:v>
      </x:c>
      <x:c r="D550" s="69" t="str">
        <x:v>visual</x:v>
      </x:c>
      <x:c r="E550" s="69" t="str">
        <x:v>serving, context</x:v>
      </x:c>
      <x:c r="F550" s="69" t="str">
        <x:v>serving</x:v>
      </x:c>
      <x:c r="G550" s="69" t="str">
        <x:v>src/trace_net/serving/</x:v>
      </x:c>
      <x:c r="H550" s="69" t="str">
        <x:v>src/trace_net/serving/trace_net_webui_visual_context_bridge_v1.py</x:v>
      </x:c>
      <x:c r="I550" s="69" t="str">
        <x:v>serving/runtime module</x:v>
      </x:c>
      <x:c r="J550" s="69" t="str">
        <x:v>MOVE_WITH_PROTECTED_COMPATIBILITY_WRAPPER</x:v>
      </x:c>
      <x:c r="K550" s="70" t="b">
        <x:v>1</x:v>
      </x:c>
      <x:c r="L550" s="70" t="b">
        <x:v>0</x:v>
      </x:c>
      <x:c r="M550" s="70" t="b">
        <x:v>1</x:v>
      </x:c>
      <x:c r="N550" s="69" t="n">
        <x:v>4</x:v>
      </x:c>
      <x:c r="O550" s="69" t="n">
        <x:v>0</x:v>
      </x:c>
      <x:c r="P550" s="69" t="str">
        <x:v>scripts/build_trace_net_webui_visual_context_bridge_v1.py; scripts/check_trace_net_webui_visual_context_bridge_v1_quality.py; tests/unit/test_trace_net_webui_visual_context_bridge_v1.py; tests/unit/test_trace_net_webui_visual_context_bridge_v1_quality.py</x:v>
      </x:c>
      <x:c r="Q550" s="71" t="n">
        <x:v>0.98</x:v>
      </x:c>
      <x:c r="R550" s="69" t="str">
        <x:v>visual/image/vision naming</x:v>
      </x:c>
      <x:c r="S550" s="69" t="str">
        <x:v>API, endpoint, server, bridge, or console implementation used by runtime callers.</x:v>
      </x:c>
      <x:c r="T550" s="69" t="str">
        <x:v>Old entrypoint must remain callable; verify relevant ports and OpenWebUI behavior.</x:v>
      </x:c>
      <x:c r="U550" s="69" t="str"/>
      <x:c r="V550" s="69" t="str">
        <x:v>TRACE_NET_WEBUI_VISUAL_CONTEXT_BRIDGE_BUILT</x:v>
      </x:c>
      <x:c r="W550" s="69" t="str"/>
      <x:c r="X550" s="72" t="n">
        <x:v>23236</x:v>
      </x:c>
      <x:c r="Y550" s="70" t="b">
        <x:v>1</x:v>
      </x:c>
      <x:c r="Z550" s="69" t="str">
        <x:v>Compatibility required</x:v>
      </x:c>
      <x:c r="AA550" s="69" t="str">
        <x:v>https://github.com/jwild2027/heico-ai-internship-summer-2026/blob/srv/tiff/trace_net_webui_visual_context_bridge_v1.py</x:v>
      </x:c>
      <x:c r="AB550" s="69" t="str">
        <x:v>shared &lt;= string:contract; ingestion &lt;= path:tiff; ocr &lt;= string:ocr; visual &lt;= path:visual, symbol:visual, string:callout, string:image_visual, string:llava, string:vision, environment:visual; embeddings &lt;= string:qdrant; retrieval &lt;= string:opensearch, string:retriev</x:v>
      </x:c>
    </x:row>
    <x:row r="551">
      <x:c r="A551" s="68" t="n">
        <x:v>550</x:v>
      </x:c>
      <x:c r="B551" s="69" t="str">
        <x:v>tiff/trace_net_weighted_search_calibration.py</x:v>
      </x:c>
      <x:c r="C551" s="69" t="str">
        <x:v>trace_net_weighted_search_calibration.py</x:v>
      </x:c>
      <x:c r="D551" s="69" t="str">
        <x:v>ingestion</x:v>
      </x:c>
      <x:c r="E551" s="69" t="str">
        <x:v>tables, graph, serving, feedback</x:v>
      </x:c>
      <x:c r="F551" s="69" t="str">
        <x:v>retrieval</x:v>
      </x:c>
      <x:c r="G551" s="69" t="str">
        <x:v>src/trace_net/retrieval/</x:v>
      </x:c>
      <x:c r="H551" s="69" t="str">
        <x:v>src/trace_net/retrieval/trace_net_weighted_search_calibration.py</x:v>
      </x:c>
      <x:c r="I551" s="69" t="str">
        <x:v>active library module</x:v>
      </x:c>
      <x:c r="J551" s="69" t="str">
        <x:v>MOVE_WITH_IMPORT_UPDATES_AND_COMPATIBILITY_WRAPPER</x:v>
      </x:c>
      <x:c r="K551" s="70" t="b">
        <x:v>1</x:v>
      </x:c>
      <x:c r="L551" s="70" t="b">
        <x:v>0</x:v>
      </x:c>
      <x:c r="M551" s="70" t="b">
        <x:v>1</x:v>
      </x:c>
      <x:c r="N551" s="69" t="n">
        <x:v>3</x:v>
      </x:c>
      <x:c r="O551" s="69" t="n">
        <x:v>0</x:v>
      </x:c>
      <x:c r="P551" s="69" t="str">
        <x:v>scripts/build_trace_net_weighted_search_calibration.py; tests/unit/test_tiff_trace_net_weighted_search_calibration.py; tiff/trace_net_weighted_search_calibration_quality.py</x:v>
      </x:c>
      <x:c r="Q551" s="71" t="n">
        <x:v>0.95</x:v>
      </x:c>
      <x:c r="R551" s="69" t="str">
        <x:v>retrieval/search naming</x:v>
      </x:c>
      <x:c r="S551" s="69" t="str">
        <x:v>Primary implementation belongs to the retrieval stage based on filename, imports, and inventory evidence.</x:v>
      </x:c>
      <x:c r="T551" s="69" t="str">
        <x:v>Update imports and retain the old tiff module as a wrapper when callers exist.</x:v>
      </x:c>
      <x:c r="U551" s="69" t="str"/>
      <x:c r="V551" s="69" t="str">
        <x:v>TRACE_NET_DIR</x:v>
      </x:c>
      <x:c r="W551" s="69" t="str"/>
      <x:c r="X551" s="72" t="n">
        <x:v>28811</x:v>
      </x:c>
      <x:c r="Y551" s="70" t="b">
        <x:v>1</x:v>
      </x:c>
      <x:c r="Z551" s="69" t="str">
        <x:v>Compatibility required</x:v>
      </x:c>
      <x:c r="AA551" s="69" t="str">
        <x:v>https://github.com/jwild2027/heico-ai-internship-summer-2026/blob/srv/tiff/trace_net_weighted_search_calibration.py</x:v>
      </x:c>
      <x:c r="AB551" s="69" t="str">
        <x:v>ingestion &lt;= path:tiff; tables &lt;= symbol:table, string:ipl; graph &lt;= symbol:graph, string:graph; validation &lt;= string:consensus; serving &lt;= import:sse, string:serve; feedback &lt;= symbol:feedback, string:feedback</x:v>
      </x:c>
    </x:row>
    <x:row r="552">
      <x:c r="A552" s="68" t="n">
        <x:v>551</x:v>
      </x:c>
      <x:c r="B552" s="69" t="str">
        <x:v>tiff/trace_net_weighted_search_calibration_quality.py</x:v>
      </x:c>
      <x:c r="C552" s="69" t="str">
        <x:v>trace_net_weighted_search_calibration_quality.py</x:v>
      </x:c>
      <x:c r="D552" s="69" t="str">
        <x:v>ingestion</x:v>
      </x:c>
      <x:c r="E552" s="69" t="str">
        <x:v>benchmarks</x:v>
      </x:c>
      <x:c r="F552" s="69" t="str">
        <x:v>retrieval</x:v>
      </x:c>
      <x:c r="G552" s="69" t="str">
        <x:v>src/trace_net/retrieval/quality/</x:v>
      </x:c>
      <x:c r="H552" s="69" t="str">
        <x:v>src/trace_net/retrieval/quality/trace_net_weighted_search_calibration_quality.py</x:v>
      </x:c>
      <x:c r="I552" s="69" t="str">
        <x:v>quality validator module</x:v>
      </x:c>
      <x:c r="J552" s="69" t="str">
        <x:v>MOVE_WITH_IMPORT_UPDATES_AND_COMPATIBILITY_WRAPPER</x:v>
      </x:c>
      <x:c r="K552" s="70" t="b">
        <x:v>1</x:v>
      </x:c>
      <x:c r="L552" s="70" t="b">
        <x:v>0</x:v>
      </x:c>
      <x:c r="M552" s="70" t="b">
        <x:v>1</x:v>
      </x:c>
      <x:c r="N552" s="69" t="n">
        <x:v>2</x:v>
      </x:c>
      <x:c r="O552" s="69" t="n">
        <x:v>0</x:v>
      </x:c>
      <x:c r="P552" s="69" t="str">
        <x:v>scripts/check_trace_net_weighted_search_calibration_quality.py; tests/unit/test_tiff_trace_net_weighted_search_calibration_quality.py</x:v>
      </x:c>
      <x:c r="Q552" s="71" t="n">
        <x:v>0.97</x:v>
      </x:c>
      <x:c r="R552" s="69" t="str">
        <x:v>retrieval/search naming</x:v>
      </x:c>
      <x:c r="S552" s="69" t="str">
        <x:v>Quality logic is reusable source code for the retrieval stage.</x:v>
      </x:c>
      <x:c r="T552" s="69" t="str">
        <x:v>Update test and script imports; retain the old tiff import as a thin wrapper until PASS.</x:v>
      </x:c>
      <x:c r="U552" s="69" t="str"/>
      <x:c r="V552" s="69" t="str"/>
      <x:c r="W552" s="69" t="str"/>
      <x:c r="X552" s="72" t="n">
        <x:v>14199</x:v>
      </x:c>
      <x:c r="Y552" s="70" t="b">
        <x:v>1</x:v>
      </x:c>
      <x:c r="Z552" s="69" t="str">
        <x:v>Compatibility required</x:v>
      </x:c>
      <x:c r="AA552" s="69" t="str">
        <x:v>https://github.com/jwild2027/heico-ai-internship-summer-2026/blob/srv/tiff/trace_net_weighted_search_calibration_quality.py</x:v>
      </x:c>
      <x:c r="AB552" s="69" t="str">
        <x:v>ingestion &lt;= path:tiff; graph &lt;= string:graph; serving &lt;= import:sse; feedback &lt;= string:feedback; benchmarks &lt;= symbol:eval; referenced_by_count=1</x:v>
      </x:c>
    </x:row>
    <x:row r="553">
      <x:c r="A553" s="68" t="n">
        <x:v>552</x:v>
      </x:c>
      <x:c r="B553" s="69" t="str">
        <x:v>tiff/trace_net_weighted_search_simulation.py</x:v>
      </x:c>
      <x:c r="C553" s="69" t="str">
        <x:v>trace_net_weighted_search_simulation.py</x:v>
      </x:c>
      <x:c r="D553" s="69" t="str">
        <x:v>ingestion</x:v>
      </x:c>
      <x:c r="E553" s="69" t="str">
        <x:v>feedback, tables, graph, retrieval</x:v>
      </x:c>
      <x:c r="F553" s="69" t="str">
        <x:v>retrieval</x:v>
      </x:c>
      <x:c r="G553" s="69" t="str">
        <x:v>src/trace_net/retrieval/</x:v>
      </x:c>
      <x:c r="H553" s="69" t="str">
        <x:v>src/trace_net/retrieval/trace_net_weighted_search_simulation.py</x:v>
      </x:c>
      <x:c r="I553" s="69" t="str">
        <x:v>active library module</x:v>
      </x:c>
      <x:c r="J553" s="69" t="str">
        <x:v>MOVE_WITH_IMPORT_UPDATES_AND_COMPATIBILITY_WRAPPER</x:v>
      </x:c>
      <x:c r="K553" s="70" t="b">
        <x:v>1</x:v>
      </x:c>
      <x:c r="L553" s="70" t="b">
        <x:v>0</x:v>
      </x:c>
      <x:c r="M553" s="70" t="b">
        <x:v>1</x:v>
      </x:c>
      <x:c r="N553" s="69" t="n">
        <x:v>4</x:v>
      </x:c>
      <x:c r="O553" s="69" t="n">
        <x:v>0</x:v>
      </x:c>
      <x:c r="P553" s="69" t="str">
        <x:v>scripts/simulate_trace_net_weighted_search.py; tests/unit/test_tiff_trace_net_weighted_search_simulation.py; tests/unit/test_tiff_trace_net_weighted_search_simulation_quality.py; tiff/trace_net_weighted_search_simulation_quality.py</x:v>
      </x:c>
      <x:c r="Q553" s="71" t="n">
        <x:v>0.95</x:v>
      </x:c>
      <x:c r="R553" s="69" t="str">
        <x:v>retrieval/search naming</x:v>
      </x:c>
      <x:c r="S553" s="69" t="str">
        <x:v>Primary implementation belongs to the retrieval stage based on filename, imports, and inventory evidence.</x:v>
      </x:c>
      <x:c r="T553" s="69" t="str">
        <x:v>Update imports and retain the old tiff module as a wrapper when callers exist.</x:v>
      </x:c>
      <x:c r="U553" s="69" t="str"/>
      <x:c r="V553" s="69" t="str">
        <x:v>TRACE_NET_DIR</x:v>
      </x:c>
      <x:c r="W553" s="69" t="str"/>
      <x:c r="X553" s="72" t="n">
        <x:v>37517</x:v>
      </x:c>
      <x:c r="Y553" s="70" t="b">
        <x:v>1</x:v>
      </x:c>
      <x:c r="Z553" s="69" t="str">
        <x:v>Compatibility required</x:v>
      </x:c>
      <x:c r="AA553" s="69" t="str">
        <x:v>https://github.com/jwild2027/heico-ai-internship-summer-2026/blob/srv/tiff/trace_net_weighted_search_simulation.py</x:v>
      </x:c>
      <x:c r="AB553" s="69" t="str">
        <x:v>ingestion &lt;= path:tiff; tables &lt;= symbol:table, string:table; graph &lt;= symbol:graph, string:graph; retrieval &lt;= symbol:retriev, string:retriev; validation &lt;= string:consensus, string:fallback; serving &lt;= import:sse</x:v>
      </x:c>
    </x:row>
    <x:row r="554">
      <x:c r="A554" s="68" t="n">
        <x:v>553</x:v>
      </x:c>
      <x:c r="B554" s="69" t="str">
        <x:v>tiff/trace_net_weighted_search_simulation_quality.py</x:v>
      </x:c>
      <x:c r="C554" s="69" t="str">
        <x:v>trace_net_weighted_search_simulation_quality.py</x:v>
      </x:c>
      <x:c r="D554" s="69" t="str">
        <x:v>ingestion</x:v>
      </x:c>
      <x:c r="E554" s="69" t="str">
        <x:v>benchmarks</x:v>
      </x:c>
      <x:c r="F554" s="69" t="str">
        <x:v>retrieval</x:v>
      </x:c>
      <x:c r="G554" s="69" t="str">
        <x:v>src/trace_net/retrieval/quality/</x:v>
      </x:c>
      <x:c r="H554" s="69" t="str">
        <x:v>src/trace_net/retrieval/quality/trace_net_weighted_search_simulation_quality.py</x:v>
      </x:c>
      <x:c r="I554" s="69" t="str">
        <x:v>quality validator module</x:v>
      </x:c>
      <x:c r="J554" s="69" t="str">
        <x:v>MOVE_WITH_IMPORT_UPDATES_AND_COMPATIBILITY_WRAPPER</x:v>
      </x:c>
      <x:c r="K554" s="70" t="b">
        <x:v>1</x:v>
      </x:c>
      <x:c r="L554" s="70" t="b">
        <x:v>0</x:v>
      </x:c>
      <x:c r="M554" s="70" t="b">
        <x:v>1</x:v>
      </x:c>
      <x:c r="N554" s="69" t="n">
        <x:v>2</x:v>
      </x:c>
      <x:c r="O554" s="69" t="n">
        <x:v>0</x:v>
      </x:c>
      <x:c r="P554" s="69" t="str">
        <x:v>scripts/check_trace_net_weighted_search_quality.py; tests/unit/test_tiff_trace_net_weighted_search_simulation_quality.py</x:v>
      </x:c>
      <x:c r="Q554" s="71" t="n">
        <x:v>0.97</x:v>
      </x:c>
      <x:c r="R554" s="69" t="str">
        <x:v>retrieval/search naming</x:v>
      </x:c>
      <x:c r="S554" s="69" t="str">
        <x:v>Quality logic is reusable source code for the retrieval stage.</x:v>
      </x:c>
      <x:c r="T554" s="69" t="str">
        <x:v>Update test and script imports; retain the old tiff import as a thin wrapper until PASS.</x:v>
      </x:c>
      <x:c r="U554" s="69" t="str"/>
      <x:c r="V554" s="69" t="str"/>
      <x:c r="W554" s="69" t="str"/>
      <x:c r="X554" s="72" t="n">
        <x:v>12333</x:v>
      </x:c>
      <x:c r="Y554" s="70" t="b">
        <x:v>1</x:v>
      </x:c>
      <x:c r="Z554" s="69" t="str">
        <x:v>Compatibility required</x:v>
      </x:c>
      <x:c r="AA554" s="69" t="str">
        <x:v>https://github.com/jwild2027/heico-ai-internship-summer-2026/blob/srv/tiff/trace_net_weighted_search_simulation_quality.py</x:v>
      </x:c>
      <x:c r="AB554" s="69" t="str">
        <x:v>ingestion &lt;= path:tiff; graph &lt;= string:graph; serving &lt;= import:sse; feedback &lt;= string:feedback; benchmarks &lt;= symbol:eval; referenced_by_count=1</x:v>
      </x:c>
    </x:row>
    <x:row r="555">
      <x:c r="A555" s="68" t="n">
        <x:v>554</x:v>
      </x:c>
      <x:c r="B555" s="69" t="str">
        <x:v>tiff/trace_net_weights_policy.py</x:v>
      </x:c>
      <x:c r="C555" s="69" t="str">
        <x:v>trace_net_weights_policy.py</x:v>
      </x:c>
      <x:c r="D555" s="69" t="str">
        <x:v>ingestion</x:v>
      </x:c>
      <x:c r="E555" s="69" t="str">
        <x:v>graph, validation</x:v>
      </x:c>
      <x:c r="F555" s="69" t="str">
        <x:v>ingestion</x:v>
      </x:c>
      <x:c r="G555" s="69" t="str">
        <x:v>src/trace_net/ingestion/</x:v>
      </x:c>
      <x:c r="H555" s="69" t="str">
        <x:v>src/trace_net/ingestion/trace_net_weights_policy.py</x:v>
      </x:c>
      <x:c r="I555" s="69" t="str">
        <x:v>active library module</x:v>
      </x:c>
      <x:c r="J555" s="69" t="str">
        <x:v>MOVE_WITH_IMPORT_UPDATES_AND_COMPATIBILITY_WRAPPER</x:v>
      </x:c>
      <x:c r="K555" s="70" t="b">
        <x:v>1</x:v>
      </x:c>
      <x:c r="L555" s="70" t="b">
        <x:v>0</x:v>
      </x:c>
      <x:c r="M555" s="70" t="b">
        <x:v>1</x:v>
      </x:c>
      <x:c r="N555" s="69" t="n">
        <x:v>4</x:v>
      </x:c>
      <x:c r="O555" s="69" t="n">
        <x:v>0</x:v>
      </x:c>
      <x:c r="P555" s="69" t="str">
        <x:v>scripts/build_trace_net_weights_policy.py; tests/unit/test_tiff_trace_net_weights_policy.py; tests/unit/test_tiff_trace_net_weights_policy_quality.py; tiff/trace_net_weights_policy_quality.py</x:v>
      </x:c>
      <x:c r="Q555" s="71" t="n">
        <x:v>0.95</x:v>
      </x:c>
      <x:c r="R555" s="69" t="str">
        <x:v>inventory stage: ingestion</x:v>
      </x:c>
      <x:c r="S555" s="69" t="str">
        <x:v>Primary implementation belongs to the ingestion stage based on filename, imports, and inventory evidence.</x:v>
      </x:c>
      <x:c r="T555" s="69" t="str">
        <x:v>Update imports and retain the old tiff module as a wrapper when callers exist.</x:v>
      </x:c>
      <x:c r="U555" s="69" t="str"/>
      <x:c r="V555" s="69" t="str"/>
      <x:c r="W555" s="69" t="str"/>
      <x:c r="X555" s="72" t="n">
        <x:v>35255</x:v>
      </x:c>
      <x:c r="Y555" s="70" t="b">
        <x:v>1</x:v>
      </x:c>
      <x:c r="Z555" s="69" t="str">
        <x:v>Compatibility required</x:v>
      </x:c>
      <x:c r="AA555" s="69" t="str">
        <x:v>https://github.com/jwild2027/heico-ai-internship-summer-2026/blob/srv/tiff/trace_net_weights_policy.py</x:v>
      </x:c>
      <x:c r="AB555" s="69" t="str">
        <x:v>ingestion &lt;= path:tiff; ocr &lt;= string:ocr; visual &lt;= string:visual; tables &lt;= string:ipl, string:table; graph &lt;= symbol:graph, string:graph; retrieval &lt;= string:retriev</x:v>
      </x:c>
    </x:row>
    <x:row r="556">
      <x:c r="A556" s="68" t="n">
        <x:v>555</x:v>
      </x:c>
      <x:c r="B556" s="69" t="str">
        <x:v>tiff/trace_net_weights_policy_quality.py</x:v>
      </x:c>
      <x:c r="C556" s="69" t="str">
        <x:v>trace_net_weights_policy_quality.py</x:v>
      </x:c>
      <x:c r="D556" s="69" t="str">
        <x:v>ingestion</x:v>
      </x:c>
      <x:c r="E556" s="69" t="str"/>
      <x:c r="F556" s="69" t="str">
        <x:v>validation</x:v>
      </x:c>
      <x:c r="G556" s="69" t="str">
        <x:v>src/trace_net/validation/</x:v>
      </x:c>
      <x:c r="H556" s="69" t="str">
        <x:v>src/trace_net/validation/trace_net_weights_policy_quality.py</x:v>
      </x:c>
      <x:c r="I556" s="69" t="str">
        <x:v>quality validator module</x:v>
      </x:c>
      <x:c r="J556" s="69" t="str">
        <x:v>MOVE_WITH_IMPORT_UPDATES_AND_COMPATIBILITY_WRAPPER</x:v>
      </x:c>
      <x:c r="K556" s="70" t="b">
        <x:v>1</x:v>
      </x:c>
      <x:c r="L556" s="70" t="b">
        <x:v>0</x:v>
      </x:c>
      <x:c r="M556" s="70" t="b">
        <x:v>1</x:v>
      </x:c>
      <x:c r="N556" s="69" t="n">
        <x:v>2</x:v>
      </x:c>
      <x:c r="O556" s="69" t="n">
        <x:v>0</x:v>
      </x:c>
      <x:c r="P556" s="69" t="str">
        <x:v>scripts/check_trace_net_weights_policy_quality.py; tests/unit/test_tiff_trace_net_weights_policy_quality.py</x:v>
      </x:c>
      <x:c r="Q556" s="71" t="n">
        <x:v>0.97</x:v>
      </x:c>
      <x:c r="R556" s="69" t="str">
        <x:v>validation/quality naming</x:v>
      </x:c>
      <x:c r="S556" s="69" t="str">
        <x:v>Quality logic is reusable source code for the validation stage.</x:v>
      </x:c>
      <x:c r="T556" s="69" t="str">
        <x:v>Update test and script imports; retain the old tiff import as a thin wrapper until PASS.</x:v>
      </x:c>
      <x:c r="U556" s="69" t="str"/>
      <x:c r="V556" s="69" t="str"/>
      <x:c r="W556" s="69" t="str"/>
      <x:c r="X556" s="72" t="n">
        <x:v>10372</x:v>
      </x:c>
      <x:c r="Y556" s="70" t="b">
        <x:v>1</x:v>
      </x:c>
      <x:c r="Z556" s="69" t="str">
        <x:v>Compatibility required</x:v>
      </x:c>
      <x:c r="AA556" s="69" t="str">
        <x:v>https://github.com/jwild2027/heico-ai-internship-summer-2026/blob/srv/tiff/trace_net_weights_policy_quality.py</x:v>
      </x:c>
      <x:c r="AB556" s="69" t="str">
        <x:v>ingestion &lt;= path:tiff; graph &lt;= string:graph; retrieval &lt;= string:retriev; validation &lt;= string:safety_gate, string:validation; serving &lt;= import:sse; feedback &lt;= string:feedback</x:v>
      </x:c>
    </x:row>
    <x:row r="557">
      <x:c r="A557" s="68" t="n">
        <x:v>556</x:v>
      </x:c>
      <x:c r="B557" s="69" t="str">
        <x:v>tiff/trust_trait_overlay.py</x:v>
      </x:c>
      <x:c r="C557" s="69" t="str">
        <x:v>trust_trait_overlay.py</x:v>
      </x:c>
      <x:c r="D557" s="69" t="str">
        <x:v>ingestion</x:v>
      </x:c>
      <x:c r="E557" s="69" t="str">
        <x:v>serving, shared, visual, graph</x:v>
      </x:c>
      <x:c r="F557" s="69" t="str">
        <x:v>engram</x:v>
      </x:c>
      <x:c r="G557" s="69" t="str">
        <x:v>src/trace_net/engram/</x:v>
      </x:c>
      <x:c r="H557" s="69" t="str">
        <x:v>src/trace_net/engram/trust_trait_overlay.py</x:v>
      </x:c>
      <x:c r="I557" s="69" t="str">
        <x:v>active library module</x:v>
      </x:c>
      <x:c r="J557" s="69" t="str">
        <x:v>MOVE_WITH_IMPORT_UPDATES_AND_COMPATIBILITY_WRAPPER</x:v>
      </x:c>
      <x:c r="K557" s="70" t="b">
        <x:v>1</x:v>
      </x:c>
      <x:c r="L557" s="70" t="b">
        <x:v>0</x:v>
      </x:c>
      <x:c r="M557" s="70" t="b">
        <x:v>1</x:v>
      </x:c>
      <x:c r="N557" s="69" t="n">
        <x:v>4</x:v>
      </x:c>
      <x:c r="O557" s="69" t="n">
        <x:v>0</x:v>
      </x:c>
      <x:c r="P557" s="69" t="str">
        <x:v>scripts/check_trust_trait_overlay_quality.py; scripts/export_trust_trait_overlay.py; tests/unit/test_tiff_trust_trait_overlay.py; tests/unit/test_tiff_trust_trait_overlay_quality.py</x:v>
      </x:c>
      <x:c r="Q557" s="71" t="n">
        <x:v>0.95</x:v>
      </x:c>
      <x:c r="R557" s="69" t="str">
        <x:v>engram/memory naming</x:v>
      </x:c>
      <x:c r="S557" s="69" t="str">
        <x:v>Primary implementation belongs to the engram stage based on filename, imports, and inventory evidence.</x:v>
      </x:c>
      <x:c r="T557" s="69" t="str">
        <x:v>Update imports and retain the old tiff module as a wrapper when callers exist.</x:v>
      </x:c>
      <x:c r="U557" s="69" t="str"/>
      <x:c r="V557" s="69" t="str"/>
      <x:c r="W557" s="69" t="str"/>
      <x:c r="X557" s="72" t="n">
        <x:v>31808</x:v>
      </x:c>
      <x:c r="Y557" s="70" t="b">
        <x:v>1</x:v>
      </x:c>
      <x:c r="Z557" s="69" t="str">
        <x:v>Compatibility required</x:v>
      </x:c>
      <x:c r="AA557" s="69" t="str">
        <x:v>https://github.com/jwild2027/heico-ai-internship-summer-2026/blob/srv/tiff/trust_trait_overlay.py</x:v>
      </x:c>
      <x:c r="AB557" s="69" t="str">
        <x:v>shared &lt;= symbol:trust_tier, string:trust_tier; ingestion &lt;= path:tiff, string:convert; visual &lt;= symbol:visual, string:visual; tables &lt;= string:table; graph &lt;= symbol:graph, string:graph; serving &lt;= symbol:sse, import:sse, string:sse</x:v>
      </x:c>
    </x:row>
    <x:row r="558">
      <x:c r="A558" s="68" t="n">
        <x:v>557</x:v>
      </x:c>
      <x:c r="B558" s="69" t="str">
        <x:v>tiff/user_query_tests.py</x:v>
      </x:c>
      <x:c r="C558" s="69" t="str">
        <x:v>user_query_tests.py</x:v>
      </x:c>
      <x:c r="D558" s="69" t="str">
        <x:v>ingestion</x:v>
      </x:c>
      <x:c r="E558" s="69" t="str">
        <x:v>serving</x:v>
      </x:c>
      <x:c r="F558" s="69" t="str">
        <x:v>tests/integration</x:v>
      </x:c>
      <x:c r="G558" s="69" t="str">
        <x:v>tests/integration/</x:v>
      </x:c>
      <x:c r="H558" s="69" t="str">
        <x:v>tests/integration/user_query_tests.py</x:v>
      </x:c>
      <x:c r="I558" s="69" t="str">
        <x:v>integration test</x:v>
      </x:c>
      <x:c r="J558" s="69" t="str">
        <x:v>MOVE_TO_TESTS_UPDATE_IMPORTS</x:v>
      </x:c>
      <x:c r="K558" s="70" t="b">
        <x:v>1</x:v>
      </x:c>
      <x:c r="L558" s="70" t="b">
        <x:v>1</x:v>
      </x:c>
      <x:c r="M558" s="70" t="b">
        <x:v>0</x:v>
      </x:c>
      <x:c r="N558" s="69" t="n">
        <x:v>2</x:v>
      </x:c>
      <x:c r="O558" s="69" t="n">
        <x:v>0</x:v>
      </x:c>
      <x:c r="P558" s="69" t="str">
        <x:v>scripts/run_user_query_tests.py; tests/unit/test_tiff_user_query_tests.py</x:v>
      </x:c>
      <x:c r="Q558" s="71" t="n">
        <x:v>0.99</x:v>
      </x:c>
      <x:c r="R558" s="69" t="str">
        <x:v>inventory stage: ingestion</x:v>
      </x:c>
      <x:c r="S558" s="69" t="str">
        <x:v>Explicit test module rather than production implementation.</x:v>
      </x:c>
      <x:c r="T558" s="69" t="str">
        <x:v>Run the moved test and update discovery/import paths.</x:v>
      </x:c>
      <x:c r="U558" s="69" t="str">
        <x:v>8080</x:v>
      </x:c>
      <x:c r="V558" s="69" t="str"/>
      <x:c r="W558" s="69" t="str"/>
      <x:c r="X558" s="72" t="n">
        <x:v>10165</x:v>
      </x:c>
      <x:c r="Y558" s="70" t="b">
        <x:v>1</x:v>
      </x:c>
      <x:c r="Z558" s="69" t="str">
        <x:v>Protected runtime</x:v>
      </x:c>
      <x:c r="AA558" s="69" t="str">
        <x:v>https://github.com/jwild2027/heico-ai-internship-summer-2026/blob/srv/tiff/user_query_tests.py</x:v>
      </x:c>
      <x:c r="AB558" s="69" t="str">
        <x:v>ingestion &lt;= path:tiff, string:tiff; ocr &lt;= string:ocr; tables &lt;= string:parts_list; graph &lt;= string:graph, string:has_context; embeddings &lt;= string:embedding; router &lt;= string:routing</x:v>
      </x:c>
    </x:row>
    <x:row r="559">
      <x:c r="A559" s="68" t="n">
        <x:v>558</x:v>
      </x:c>
      <x:c r="B559" s="69" t="str">
        <x:v>tiff/visual_text_cleanup.py</x:v>
      </x:c>
      <x:c r="C559" s="69" t="str">
        <x:v>visual_text_cleanup.py</x:v>
      </x:c>
      <x:c r="D559" s="69" t="str">
        <x:v>visual</x:v>
      </x:c>
      <x:c r="E559" s="69" t="str">
        <x:v>operations, ingestion</x:v>
      </x:c>
      <x:c r="F559" s="69" t="str">
        <x:v>visual</x:v>
      </x:c>
      <x:c r="G559" s="69" t="str">
        <x:v>src/trace_net/visual/</x:v>
      </x:c>
      <x:c r="H559" s="69" t="str">
        <x:v>src/trace_net/visual/visual_text_cleanup.py</x:v>
      </x:c>
      <x:c r="I559" s="69" t="str">
        <x:v>active library module</x:v>
      </x:c>
      <x:c r="J559" s="69" t="str">
        <x:v>MOVE_WITH_IMPORT_UPDATES_AND_COMPATIBILITY_WRAPPER</x:v>
      </x:c>
      <x:c r="K559" s="70" t="b">
        <x:v>1</x:v>
      </x:c>
      <x:c r="L559" s="70" t="b">
        <x:v>0</x:v>
      </x:c>
      <x:c r="M559" s="70" t="b">
        <x:v>1</x:v>
      </x:c>
      <x:c r="N559" s="69" t="n">
        <x:v>6</x:v>
      </x:c>
      <x:c r="O559" s="69" t="n">
        <x:v>0</x:v>
      </x:c>
      <x:c r="P559" s="69" t="str">
        <x:v>scripts/check_visual_text_clean_quality.py; scripts/postprocess_visual_text_outputs.py; tests/unit/test_tiff_visual_text_cleanup.py; tests/unit/test_tiff_visual_text_cleanup_quality.py; tests/unit/test_tiff_visual_text_v2_3_cleanup.py; tiff/trace_net_cleanup_repair.py</x:v>
      </x:c>
      <x:c r="Q559" s="71" t="n">
        <x:v>0.95</x:v>
      </x:c>
      <x:c r="R559" s="69" t="str">
        <x:v>visual/image/vision naming</x:v>
      </x:c>
      <x:c r="S559" s="69" t="str">
        <x:v>Primary implementation belongs to the visual stage based on filename, imports, and inventory evidence.</x:v>
      </x:c>
      <x:c r="T559" s="69" t="str">
        <x:v>Update imports and retain the old tiff module as a wrapper when callers exist.</x:v>
      </x:c>
      <x:c r="U559" s="69" t="str"/>
      <x:c r="V559" s="69" t="str"/>
      <x:c r="W559" s="69" t="str"/>
      <x:c r="X559" s="72" t="n">
        <x:v>46552</x:v>
      </x:c>
      <x:c r="Y559" s="70" t="b">
        <x:v>1</x:v>
      </x:c>
      <x:c r="Z559" s="69" t="str">
        <x:v>Compatibility required</x:v>
      </x:c>
      <x:c r="AA559" s="69" t="str">
        <x:v>https://github.com/jwild2027/heico-ai-internship-summer-2026/blob/srv/tiff/visual_text_cleanup.py</x:v>
      </x:c>
      <x:c r="AB559" s="69" t="str">
        <x:v>shared &lt;= symbol:trust_tier, string:common, string:trust_tier; ingestion &lt;= path:tiff, import:tiff; ocr &lt;= string:ocr; visual &lt;= path:visual, symbol:visual, import:visual, string:callout, string:diagram, string:llava, string:visual; tables &lt;= symbol:table, string:table, string:table_row; serving &lt;= import:sse</x:v>
      </x:c>
    </x:row>
    <x:row r="560">
      <x:c r="A560" s="68" t="n">
        <x:v>559</x:v>
      </x:c>
      <x:c r="B560" s="69" t="str">
        <x:v>tiff/visual_text_extraction.py</x:v>
      </x:c>
      <x:c r="C560" s="69" t="str">
        <x:v>visual_text_extraction.py</x:v>
      </x:c>
      <x:c r="D560" s="69" t="str">
        <x:v>visual</x:v>
      </x:c>
      <x:c r="E560" s="69" t="str">
        <x:v>ingestion</x:v>
      </x:c>
      <x:c r="F560" s="69" t="str">
        <x:v>visual</x:v>
      </x:c>
      <x:c r="G560" s="69" t="str">
        <x:v>src/trace_net/visual/</x:v>
      </x:c>
      <x:c r="H560" s="69" t="str">
        <x:v>src/trace_net/visual/visual_text_extraction.py</x:v>
      </x:c>
      <x:c r="I560" s="69" t="str">
        <x:v>active library module</x:v>
      </x:c>
      <x:c r="J560" s="69" t="str">
        <x:v>MOVE_WITH_PROTECTED_COMPATIBILITY_WRAPPER</x:v>
      </x:c>
      <x:c r="K560" s="70" t="b">
        <x:v>1</x:v>
      </x:c>
      <x:c r="L560" s="70" t="b">
        <x:v>1</x:v>
      </x:c>
      <x:c r="M560" s="70" t="b">
        <x:v>1</x:v>
      </x:c>
      <x:c r="N560" s="69" t="n">
        <x:v>15</x:v>
      </x:c>
      <x:c r="O560" s="69" t="n">
        <x:v>0</x:v>
      </x:c>
      <x:c r="P560" s="69" t="str">
        <x:v>scripts/refresh_visual_text_extraction_summary.py; scripts/run_visual_text_extraction.py; tests/unit/test_tiff_visual_text_extraction.py; tests/unit/test_tiff_visual_text_fishnet_layers.py; tests/unit/test_tiff_visual_text_metadata_leakage.py; tests/unit/test_tiff_visual_text_ollama_model_selection.py; tests/unit/test_tiff_visual_text_progress.py; tests/unit/test_tiff_visual_text_refresh_summary.py; tests/unit/test_tiff_visual_text_retry_errors.py; tests/unit/test_tiff_visual_text_strict_v2.py; … +5 more</x:v>
      </x:c>
      <x:c r="Q560" s="71" t="n">
        <x:v>0.95</x:v>
      </x:c>
      <x:c r="R560" s="69" t="str">
        <x:v>visual/image/vision naming</x:v>
      </x:c>
      <x:c r="S560" s="69" t="str">
        <x:v>Primary implementation belongs to the visual stage based on filename, imports, and inventory evidence.</x:v>
      </x:c>
      <x:c r="T560" s="69" t="str">
        <x:v>Update imports and retain the old tiff module as a wrapper when callers exist.</x:v>
      </x:c>
      <x:c r="U560" s="69" t="str">
        <x:v>11434</x:v>
      </x:c>
      <x:c r="V560" s="69" t="str"/>
      <x:c r="W560" s="69" t="str"/>
      <x:c r="X560" s="72" t="n">
        <x:v>99041</x:v>
      </x:c>
      <x:c r="Y560" s="70" t="b">
        <x:v>1</x:v>
      </x:c>
      <x:c r="Z560" s="69" t="str">
        <x:v>Protected runtime</x:v>
      </x:c>
      <x:c r="AA560" s="69" t="str">
        <x:v>https://github.com/jwild2027/heico-ai-internship-summer-2026/blob/srv/tiff/visual_text_extraction.py</x:v>
      </x:c>
      <x:c r="AB560" s="69" t="str">
        <x:v>ingestion &lt;= path:tiff, string:convert, string:tiff; ocr &lt;= symbol:ocr, string:fishnet, string:ocr; visual &lt;= path:visual, symbol:vision, symbol:visual, string:callout, string:diagram, string:llava, string:vision; tables &lt;= string:parts_list, string:table; graph &lt;= symbol:graph, string:graph, string:relationship; validation &lt;= string:critic, string:fallback</x:v>
      </x:c>
    </x:row>
    <x:row r="561">
      <x:c r="A561" s="68" t="n">
        <x:v>560</x:v>
      </x:c>
      <x:c r="B561" s="69" t="str">
        <x:v>tiff/visual_text_extraction_quality.py</x:v>
      </x:c>
      <x:c r="C561" s="69" t="str">
        <x:v>visual_text_extraction_quality.py</x:v>
      </x:c>
      <x:c r="D561" s="69" t="str">
        <x:v>visual</x:v>
      </x:c>
      <x:c r="E561" s="69" t="str">
        <x:v>ingestion</x:v>
      </x:c>
      <x:c r="F561" s="69" t="str">
        <x:v>visual</x:v>
      </x:c>
      <x:c r="G561" s="69" t="str">
        <x:v>src/trace_net/visual/quality/</x:v>
      </x:c>
      <x:c r="H561" s="69" t="str">
        <x:v>src/trace_net/visual/quality/visual_text_extraction_quality.py</x:v>
      </x:c>
      <x:c r="I561" s="69" t="str">
        <x:v>quality validator module</x:v>
      </x:c>
      <x:c r="J561" s="69" t="str">
        <x:v>MOVE_WITH_IMPORT_UPDATES_AND_COMPATIBILITY_WRAPPER</x:v>
      </x:c>
      <x:c r="K561" s="70" t="b">
        <x:v>1</x:v>
      </x:c>
      <x:c r="L561" s="70" t="b">
        <x:v>0</x:v>
      </x:c>
      <x:c r="M561" s="70" t="b">
        <x:v>1</x:v>
      </x:c>
      <x:c r="N561" s="69" t="n">
        <x:v>8</x:v>
      </x:c>
      <x:c r="O561" s="69" t="n">
        <x:v>0</x:v>
      </x:c>
      <x:c r="P561" s="69" t="str">
        <x:v>scripts/check_visual_text_extraction_quality.py; tests/unit/test_tiff_visual_text_extraction_quality.py; tests/unit/test_tiff_visual_text_metadata_leakage.py; tests/unit/test_tiff_visual_text_retry_errors.py; tests/unit/test_tiff_visual_text_strict_v2.py; tests/unit/test_tiff_visual_text_v2_2_leak_refusal_fix.py; tests/unit/test_tiff_visual_text_v2_4_compact_prompt.py; tiff/visual_text_quality.py</x:v>
      </x:c>
      <x:c r="Q561" s="71" t="n">
        <x:v>0.97</x:v>
      </x:c>
      <x:c r="R561" s="69" t="str">
        <x:v>visual/image/vision naming</x:v>
      </x:c>
      <x:c r="S561" s="69" t="str">
        <x:v>Quality logic is reusable source code for the visual stage.</x:v>
      </x:c>
      <x:c r="T561" s="69" t="str">
        <x:v>Update test and script imports; retain the old tiff import as a thin wrapper until PASS.</x:v>
      </x:c>
      <x:c r="U561" s="69" t="str"/>
      <x:c r="V561" s="69" t="str"/>
      <x:c r="W561" s="69" t="str"/>
      <x:c r="X561" s="72" t="n">
        <x:v>16832</x:v>
      </x:c>
      <x:c r="Y561" s="70" t="b">
        <x:v>1</x:v>
      </x:c>
      <x:c r="Z561" s="69" t="str">
        <x:v>Compatibility required</x:v>
      </x:c>
      <x:c r="AA561" s="69" t="str">
        <x:v>https://github.com/jwild2027/heico-ai-internship-summer-2026/blob/srv/tiff/visual_text_extraction_quality.py</x:v>
      </x:c>
      <x:c r="AB561" s="69" t="str">
        <x:v>ingestion &lt;= path:tiff, import:tiff; ocr &lt;= string:ocr; visual &lt;= path:visual, symbol:visual, import:visual, string:callout, string:visual; tables &lt;= string:table, string:table_row; graph &lt;= symbol:graph, string:graph; serving &lt;= import:sse</x:v>
      </x:c>
    </x:row>
    <x:row r="562">
      <x:c r="A562" s="68" t="n">
        <x:v>561</x:v>
      </x:c>
      <x:c r="B562" s="69" t="str">
        <x:v>tiff/visual_text_output_report.py</x:v>
      </x:c>
      <x:c r="C562" s="69" t="str">
        <x:v>visual_text_output_report.py</x:v>
      </x:c>
      <x:c r="D562" s="69" t="str">
        <x:v>visual</x:v>
      </x:c>
      <x:c r="E562" s="69" t="str">
        <x:v>ingestion</x:v>
      </x:c>
      <x:c r="F562" s="69" t="str">
        <x:v>visual</x:v>
      </x:c>
      <x:c r="G562" s="69" t="str">
        <x:v>src/trace_net/visual/</x:v>
      </x:c>
      <x:c r="H562" s="69" t="str">
        <x:v>src/trace_net/visual/visual_text_output_report.py</x:v>
      </x:c>
      <x:c r="I562" s="69" t="str">
        <x:v>active library module</x:v>
      </x:c>
      <x:c r="J562" s="69" t="str">
        <x:v>MOVE_WITH_IMPORT_UPDATES_AND_COMPATIBILITY_WRAPPER</x:v>
      </x:c>
      <x:c r="K562" s="70" t="b">
        <x:v>1</x:v>
      </x:c>
      <x:c r="L562" s="70" t="b">
        <x:v>0</x:v>
      </x:c>
      <x:c r="M562" s="70" t="b">
        <x:v>1</x:v>
      </x:c>
      <x:c r="N562" s="69" t="n">
        <x:v>2</x:v>
      </x:c>
      <x:c r="O562" s="69" t="n">
        <x:v>0</x:v>
      </x:c>
      <x:c r="P562" s="69" t="str">
        <x:v>scripts/print_visual_text_outputs.py; tests/unit/test_tiff_visual_text_output_report.py</x:v>
      </x:c>
      <x:c r="Q562" s="71" t="n">
        <x:v>0.95</x:v>
      </x:c>
      <x:c r="R562" s="69" t="str">
        <x:v>visual/image/vision naming</x:v>
      </x:c>
      <x:c r="S562" s="69" t="str">
        <x:v>Primary implementation belongs to the visual stage based on filename, imports, and inventory evidence.</x:v>
      </x:c>
      <x:c r="T562" s="69" t="str">
        <x:v>Update imports and retain the old tiff module as a wrapper when callers exist.</x:v>
      </x:c>
      <x:c r="U562" s="69" t="str"/>
      <x:c r="V562" s="69" t="str"/>
      <x:c r="W562" s="69" t="str"/>
      <x:c r="X562" s="72" t="n">
        <x:v>27372</x:v>
      </x:c>
      <x:c r="Y562" s="70" t="b">
        <x:v>1</x:v>
      </x:c>
      <x:c r="Z562" s="69" t="str">
        <x:v>Compatibility required</x:v>
      </x:c>
      <x:c r="AA562" s="69" t="str">
        <x:v>https://github.com/jwild2027/heico-ai-internship-summer-2026/blob/srv/tiff/visual_text_output_report.py</x:v>
      </x:c>
      <x:c r="AB562" s="69" t="str">
        <x:v>ingestion &lt;= path:tiff, string:tiff; ocr &lt;= string:ocr; visual &lt;= path:visual, symbol:visual, string:callout, string:diagram, string:visual; tables &lt;= string:column, string:table, string:table_row; graph &lt;= string:graph; serving &lt;= import:sse</x:v>
      </x:c>
    </x:row>
    <x:row r="563">
      <x:c r="A563" s="68" t="n">
        <x:v>562</x:v>
      </x:c>
      <x:c r="B563" s="69" t="str">
        <x:v>tiff/visual_text_quality.py</x:v>
      </x:c>
      <x:c r="C563" s="69" t="str">
        <x:v>visual_text_quality.py</x:v>
      </x:c>
      <x:c r="D563" s="69" t="str">
        <x:v>ingestion</x:v>
      </x:c>
      <x:c r="E563" s="69" t="str">
        <x:v>visual</x:v>
      </x:c>
      <x:c r="F563" s="69" t="str">
        <x:v>visual</x:v>
      </x:c>
      <x:c r="G563" s="69" t="str">
        <x:v>src/trace_net/visual/quality/</x:v>
      </x:c>
      <x:c r="H563" s="69" t="str">
        <x:v>src/trace_net/visual/quality/visual_text_quality.py</x:v>
      </x:c>
      <x:c r="I563" s="69" t="str">
        <x:v>quality validator module</x:v>
      </x:c>
      <x:c r="J563" s="69" t="str">
        <x:v>MOVE_TO_SOURCE_PACKAGE</x:v>
      </x:c>
      <x:c r="K563" s="70" t="b">
        <x:v>1</x:v>
      </x:c>
      <x:c r="L563" s="70" t="b">
        <x:v>0</x:v>
      </x:c>
      <x:c r="M563" s="70" t="b">
        <x:v>0</x:v>
      </x:c>
      <x:c r="N563" s="69" t="n">
        <x:v>0</x:v>
      </x:c>
      <x:c r="O563" s="69" t="n">
        <x:v>0</x:v>
      </x:c>
      <x:c r="P563" s="69" t="str"/>
      <x:c r="Q563" s="71" t="n">
        <x:v>0.97</x:v>
      </x:c>
      <x:c r="R563" s="69" t="str">
        <x:v>visual/image/vision naming</x:v>
      </x:c>
      <x:c r="S563" s="69" t="str">
        <x:v>Quality logic is reusable source code for the visual stage.</x:v>
      </x:c>
      <x:c r="T563" s="69" t="str">
        <x:v>Update test and script imports; retain the old tiff import as a thin wrapper until PASS.</x:v>
      </x:c>
      <x:c r="U563" s="69" t="str"/>
      <x:c r="V563" s="69" t="str"/>
      <x:c r="W563" s="69" t="str"/>
      <x:c r="X563" s="72" t="n">
        <x:v>288</x:v>
      </x:c>
      <x:c r="Y563" s="70" t="b">
        <x:v>1</x:v>
      </x:c>
      <x:c r="Z563" s="69" t="str">
        <x:v>Straight move</x:v>
      </x:c>
      <x:c r="AA563" s="69" t="str">
        <x:v>https://github.com/jwild2027/heico-ai-internship-summer-2026/blob/srv/tiff/visual_text_quality.py</x:v>
      </x:c>
      <x:c r="AB563" s="69" t="str">
        <x:v>ingestion &lt;= path:tiff, import:tiff, string:tiff; visual &lt;= path:visual, import:visual, string:visual; referenced_by_count=1</x:v>
      </x:c>
    </x:row>
  </x:sheetData>
  <x:conditionalFormatting sqref="Q2:Q56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J2:J563">
    <x:cfRule type="expression" dxfId="0" priority="2">
      <x:formula>LEFT(J2,6)="LEGACY"</x:formula>
    </x:cfRule>
  </x:conditionalFormatting>
  <x:conditionalFormatting sqref="Z2:Z563">
    <x:cfRule type="expression" dxfId="1" priority="3">
      <x:formula>Z2="Protected runtime"</x:formula>
    </x:cfRule>
    <x:cfRule type="expression" dxfId="2" priority="4">
      <x:formula>Z2="Compatibility required"</x:formula>
    </x:cfRule>
    <x:cfRule type="expression" dxfId="3" priority="5">
      <x:formula>Z2="Straight move"</x:formula>
    </x:cfRule>
  </x:conditionalFormatting>
  <x:conditionalFormatting sqref="F2:F563">
    <x:cfRule type="expression" dxfId="4" priority="6">
      <x:formula>F2="legacy"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ccbe857b956460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70" hidden="0" customWidth="1"/>
  </x:cols>
  <x:sheetData>
    <x:row r="1">
      <x:c r="A1" s="45" t="str">
        <x:v>Recommended Folder</x:v>
      </x:c>
      <x:c r="B1" s="45" t="str">
        <x:v>File Count</x:v>
      </x:c>
      <x:c r="C1" s="45" t="str">
        <x:v>Active Files</x:v>
      </x:c>
      <x:c r="D1" s="45" t="str">
        <x:v>Legacy Files</x:v>
      </x:c>
      <x:c r="E1" s="45" t="str">
        <x:v>Protected Files</x:v>
      </x:c>
      <x:c r="F1" s="45" t="str">
        <x:v>Wrapper Files</x:v>
      </x:c>
      <x:c r="G1" s="45" t="str">
        <x:v>Total Bytes</x:v>
      </x:c>
      <x:c r="H1" s="45" t="str">
        <x:v>Example Files</x:v>
      </x:c>
    </x:row>
    <x:row r="2">
      <x:c r="A2" s="59" t="str">
        <x:v>legacy/tiff_backups/</x:v>
      </x:c>
      <x:c r="B2" s="62" t="n">
        <x:f>COUNTIF('File Plan'!G$2:G$563,A2)</x:f>
        <x:v>30</x:v>
      </x:c>
      <x:c r="C2" s="62" t="n">
        <x:f>COUNTIFS('File Plan'!G$2:G$563,A2,'File Plan'!F$2:F$563,"&lt;&gt;legacy")</x:f>
        <x:v>0</x:v>
      </x:c>
      <x:c r="D2" s="62" t="n">
        <x:f>COUNTIFS('File Plan'!G$2:G$563,A2,'File Plan'!F$2:F$563,"legacy")</x:f>
        <x:v>30</x:v>
      </x:c>
      <x:c r="E2" s="62" t="n">
        <x:f>COUNTIFS('File Plan'!G$2:G$563,A2,'File Plan'!Z$2:Z$563,"Protected runtime")</x:f>
        <x:v>0</x:v>
      </x:c>
      <x:c r="F2" s="62" t="n">
        <x:f>COUNTIFS('File Plan'!G$2:G$563,A2,'File Plan'!Z$2:Z$563,"Compatibility required")+COUNTIFS('File Plan'!G$2:G$563,A2,'File Plan'!Z$2:Z$563,"Protected runtime")</x:f>
        <x:v>0</x:v>
      </x:c>
      <x:c r="G2" s="62" t="n">
        <x:f>SUMIF('File Plan'!G$2:G$563,A2,'File Plan'!X$2:X$563)</x:f>
        <x:v>1474569</x:v>
      </x:c>
      <x:c r="H2" s="59" t="str">
        <x:v>trace_net_engineering_engram_crag_repair_v1.py.bak_h29_cli_alias_repair_v1_20260701_150010, trace_net_engineering_engram_prompt_retrieval_llm_smoke_v1.py.bak_h22_prompt_boundary_phrase_fix_v1_20260701_132430, trace_net_engineering_engram_prompt_retrieval_llm_smoke_v1.py.bak_manual_h22_boundary_phrase_20260701_132511, trace_net_engineering_llm_answer_smoke_v1.py.bak_before_resto</x:v>
      </x:c>
    </x:row>
    <x:row r="3">
      <x:c r="A3" s="59" t="str">
        <x:v>legacy/tiff_package_markers/</x:v>
      </x:c>
      <x:c r="B3" s="62" t="n">
        <x:f>COUNTIF('File Plan'!G$2:G$563,A3)</x:f>
        <x:v>1</x:v>
      </x:c>
      <x:c r="C3" s="62" t="n">
        <x:f>COUNTIFS('File Plan'!G$2:G$563,A3,'File Plan'!F$2:F$563,"&lt;&gt;legacy")</x:f>
        <x:v>0</x:v>
      </x:c>
      <x:c r="D3" s="62" t="n">
        <x:f>COUNTIFS('File Plan'!G$2:G$563,A3,'File Plan'!F$2:F$563,"legacy")</x:f>
        <x:v>1</x:v>
      </x:c>
      <x:c r="E3" s="62" t="n">
        <x:f>COUNTIFS('File Plan'!G$2:G$563,A3,'File Plan'!Z$2:Z$563,"Protected runtime")</x:f>
        <x:v>0</x:v>
      </x:c>
      <x:c r="F3" s="62" t="n">
        <x:f>COUNTIFS('File Plan'!G$2:G$563,A3,'File Plan'!Z$2:Z$563,"Compatibility required")+COUNTIFS('File Plan'!G$2:G$563,A3,'File Plan'!Z$2:Z$563,"Protected runtime")</x:f>
        <x:v>0</x:v>
      </x:c>
      <x:c r="G3" s="62" t="n">
        <x:f>SUMIF('File Plan'!G$2:G$563,A3,'File Plan'!X$2:X$563)</x:f>
        <x:v>0</x:v>
      </x:c>
      <x:c r="H3" s="59" t="str">
        <x:v>.keep</x:v>
      </x:c>
    </x:row>
    <x:row r="4">
      <x:c r="A4" s="59" t="str">
        <x:v>scripts/benchmark/</x:v>
      </x:c>
      <x:c r="B4" s="62" t="n">
        <x:f>COUNTIF('File Plan'!G$2:G$563,A4)</x:f>
        <x:v>1</x:v>
      </x:c>
      <x:c r="C4" s="62" t="n">
        <x:f>COUNTIFS('File Plan'!G$2:G$563,A4,'File Plan'!F$2:F$563,"&lt;&gt;legacy")</x:f>
        <x:v>1</x:v>
      </x:c>
      <x:c r="D4" s="62" t="n">
        <x:f>COUNTIFS('File Plan'!G$2:G$563,A4,'File Plan'!F$2:F$563,"legacy")</x:f>
        <x:v>0</x:v>
      </x:c>
      <x:c r="E4" s="62" t="n">
        <x:f>COUNTIFS('File Plan'!G$2:G$563,A4,'File Plan'!Z$2:Z$563,"Protected runtime")</x:f>
        <x:v>0</x:v>
      </x:c>
      <x:c r="F4" s="62" t="n">
        <x:f>COUNTIFS('File Plan'!G$2:G$563,A4,'File Plan'!Z$2:Z$563,"Compatibility required")+COUNTIFS('File Plan'!G$2:G$563,A4,'File Plan'!Z$2:Z$563,"Protected runtime")</x:f>
        <x:v>1</x:v>
      </x:c>
      <x:c r="G4" s="62" t="n">
        <x:f>SUMIF('File Plan'!G$2:G$563,A4,'File Plan'!X$2:X$563)</x:f>
        <x:v>4535</x:v>
      </x:c>
      <x:c r="H4" s="59" t="str">
        <x:v>trace_net_h27_engram_answer_smoke_overlay_map_v1.py</x:v>
      </x:c>
    </x:row>
    <x:row r="5">
      <x:c r="A5" s="59" t="str">
        <x:v>src/trace_net/</x:v>
      </x:c>
      <x:c r="B5" s="62" t="n">
        <x:f>COUNTIF('File Plan'!G$2:G$563,A5)</x:f>
        <x:v>1</x:v>
      </x:c>
      <x:c r="C5" s="62" t="n">
        <x:f>COUNTIFS('File Plan'!G$2:G$563,A5,'File Plan'!F$2:F$563,"&lt;&gt;legacy")</x:f>
        <x:v>1</x:v>
      </x:c>
      <x:c r="D5" s="62" t="n">
        <x:f>COUNTIFS('File Plan'!G$2:G$563,A5,'File Plan'!F$2:F$563,"legacy")</x:f>
        <x:v>0</x:v>
      </x:c>
      <x:c r="E5" s="62" t="n">
        <x:f>COUNTIFS('File Plan'!G$2:G$563,A5,'File Plan'!Z$2:Z$563,"Protected runtime")</x:f>
        <x:v>0</x:v>
      </x:c>
      <x:c r="F5" s="62" t="n">
        <x:f>COUNTIFS('File Plan'!G$2:G$563,A5,'File Plan'!Z$2:Z$563,"Compatibility required")+COUNTIFS('File Plan'!G$2:G$563,A5,'File Plan'!Z$2:Z$563,"Protected runtime")</x:f>
        <x:v>1</x:v>
      </x:c>
      <x:c r="G5" s="62" t="n">
        <x:f>SUMIF('File Plan'!G$2:G$563,A5,'File Plan'!X$2:X$563)</x:f>
        <x:v>0</x:v>
      </x:c>
      <x:c r="H5" s="59" t="str">
        <x:v>__init__.py</x:v>
      </x:c>
    </x:row>
    <x:row r="6">
      <x:c r="A6" s="59" t="str">
        <x:v>src/trace_net/context/</x:v>
      </x:c>
      <x:c r="B6" s="62" t="n">
        <x:f>COUNTIF('File Plan'!G$2:G$563,A6)</x:f>
        <x:v>25</x:v>
      </x:c>
      <x:c r="C6" s="62" t="n">
        <x:f>COUNTIFS('File Plan'!G$2:G$563,A6,'File Plan'!F$2:F$563,"&lt;&gt;legacy")</x:f>
        <x:v>25</x:v>
      </x:c>
      <x:c r="D6" s="62" t="n">
        <x:f>COUNTIFS('File Plan'!G$2:G$563,A6,'File Plan'!F$2:F$563,"legacy")</x:f>
        <x:v>0</x:v>
      </x:c>
      <x:c r="E6" s="62" t="n">
        <x:f>COUNTIFS('File Plan'!G$2:G$563,A6,'File Plan'!Z$2:Z$563,"Protected runtime")</x:f>
        <x:v>3</x:v>
      </x:c>
      <x:c r="F6" s="62" t="n">
        <x:f>COUNTIFS('File Plan'!G$2:G$563,A6,'File Plan'!Z$2:Z$563,"Compatibility required")+COUNTIFS('File Plan'!G$2:G$563,A6,'File Plan'!Z$2:Z$563,"Protected runtime")</x:f>
        <x:v>25</x:v>
      </x:c>
      <x:c r="G6" s="62" t="n">
        <x:f>SUMIF('File Plan'!G$2:G$563,A6,'File Plan'!X$2:X$563)</x:f>
        <x:v>852484</x:v>
      </x:c>
      <x:c r="H6" s="59" t="str">
        <x:v>page_context.py, page_context_inspector.py, page_context_v2.py, trace_net_answer_context_pack_v1.py, trace_net_e2e_context_pack_builder_v1.py, trace_net_e2e_dynamic_context_pack_v8.py, trace_net_e2e_executed_plan_context_pack_v19.py, trace_net_engineering_answer_context_pack_v1.py, trace_net_engineering_answer_runner_overlay_context_pack_v1.py, trace_net_engineering_context_dra</x:v>
      </x:c>
    </x:row>
    <x:row r="7">
      <x:c r="A7" s="59" t="str">
        <x:v>src/trace_net/core/</x:v>
      </x:c>
      <x:c r="B7" s="62" t="n">
        <x:f>COUNTIF('File Plan'!G$2:G$563,A7)</x:f>
        <x:v>12</x:v>
      </x:c>
      <x:c r="C7" s="62" t="n">
        <x:f>COUNTIFS('File Plan'!G$2:G$563,A7,'File Plan'!F$2:F$563,"&lt;&gt;legacy")</x:f>
        <x:v>12</x:v>
      </x:c>
      <x:c r="D7" s="62" t="n">
        <x:f>COUNTIFS('File Plan'!G$2:G$563,A7,'File Plan'!F$2:F$563,"legacy")</x:f>
        <x:v>0</x:v>
      </x:c>
      <x:c r="E7" s="62" t="n">
        <x:f>COUNTIFS('File Plan'!G$2:G$563,A7,'File Plan'!Z$2:Z$563,"Protected runtime")</x:f>
        <x:v>2</x:v>
      </x:c>
      <x:c r="F7" s="62" t="n">
        <x:f>COUNTIFS('File Plan'!G$2:G$563,A7,'File Plan'!Z$2:Z$563,"Compatibility required")+COUNTIFS('File Plan'!G$2:G$563,A7,'File Plan'!Z$2:Z$563,"Protected runtime")</x:f>
        <x:v>12</x:v>
      </x:c>
      <x:c r="G7" s="62" t="n">
        <x:f>SUMIF('File Plan'!G$2:G$563,A7,'File Plan'!X$2:X$563)</x:f>
        <x:v>409413</x:v>
      </x:c>
      <x:c r="H7" s="59" t="str">
        <x:v>production_schema.py, storage_adapters.py, trace_net_canonical_runtime_map_v1.py, trace_net_cleanup_repair.py, trace_net_dry_run_loader_planner_v1.py, trace_net_dublin_core_crosswalk_refinement_v1.py, trace_net_dublin_core_crosswalk_v1.py, trace_net_dublin_core_source_package_extension_v1.py, trace_net_e2e_live_llm_prompt_contract_v21.py, trace_net_e2e_llm_prompt_contract_v11.p</x:v>
      </x:c>
    </x:row>
    <x:row r="8">
      <x:c r="A8" s="59" t="str">
        <x:v>src/trace_net/embeddings/</x:v>
      </x:c>
      <x:c r="B8" s="62" t="n">
        <x:f>COUNTIF('File Plan'!G$2:G$563,A8)</x:f>
        <x:v>2</x:v>
      </x:c>
      <x:c r="C8" s="62" t="n">
        <x:f>COUNTIFS('File Plan'!G$2:G$563,A8,'File Plan'!F$2:F$563,"&lt;&gt;legacy")</x:f>
        <x:v>2</x:v>
      </x:c>
      <x:c r="D8" s="62" t="n">
        <x:f>COUNTIFS('File Plan'!G$2:G$563,A8,'File Plan'!F$2:F$563,"legacy")</x:f>
        <x:v>0</x:v>
      </x:c>
      <x:c r="E8" s="62" t="n">
        <x:f>COUNTIFS('File Plan'!G$2:G$563,A8,'File Plan'!Z$2:Z$563,"Protected runtime")</x:f>
        <x:v>1</x:v>
      </x:c>
      <x:c r="F8" s="62" t="n">
        <x:f>COUNTIFS('File Plan'!G$2:G$563,A8,'File Plan'!Z$2:Z$563,"Compatibility required")+COUNTIFS('File Plan'!G$2:G$563,A8,'File Plan'!Z$2:Z$563,"Protected runtime")</x:f>
        <x:v>2</x:v>
      </x:c>
      <x:c r="G8" s="62" t="n">
        <x:f>SUMIF('File Plan'!G$2:G$563,A8,'File Plan'!X$2:X$563)</x:f>
        <x:v>134116</x:v>
      </x:c>
      <x:c r="H8" s="59" t="str">
        <x:v>trace_net_embedding_candidates_v1.py, trace_net_qdrant_loader_v1.py</x:v>
      </x:c>
    </x:row>
    <x:row r="9">
      <x:c r="A9" s="59" t="str">
        <x:v>src/trace_net/engram/</x:v>
      </x:c>
      <x:c r="B9" s="62" t="n">
        <x:f>COUNTIF('File Plan'!G$2:G$563,A9)</x:f>
        <x:v>19</x:v>
      </x:c>
      <x:c r="C9" s="62" t="n">
        <x:f>COUNTIFS('File Plan'!G$2:G$563,A9,'File Plan'!F$2:F$563,"&lt;&gt;legacy")</x:f>
        <x:v>19</x:v>
      </x:c>
      <x:c r="D9" s="62" t="n">
        <x:f>COUNTIFS('File Plan'!G$2:G$563,A9,'File Plan'!F$2:F$563,"legacy")</x:f>
        <x:v>0</x:v>
      </x:c>
      <x:c r="E9" s="62" t="n">
        <x:f>COUNTIFS('File Plan'!G$2:G$563,A9,'File Plan'!Z$2:Z$563,"Protected runtime")</x:f>
        <x:v>2</x:v>
      </x:c>
      <x:c r="F9" s="62" t="n">
        <x:f>COUNTIFS('File Plan'!G$2:G$563,A9,'File Plan'!Z$2:Z$563,"Compatibility required")+COUNTIFS('File Plan'!G$2:G$563,A9,'File Plan'!Z$2:Z$563,"Protected runtime")</x:f>
        <x:v>19</x:v>
      </x:c>
      <x:c r="G9" s="62" t="n">
        <x:f>SUMIF('File Plan'!G$2:G$563,A9,'File Plan'!X$2:X$563)</x:f>
        <x:v>455915</x:v>
      </x:c>
      <x:c r="H9" s="59" t="str">
        <x:v>trace_net_engineering_engram_answer_runner_overlay_llm_smoke_complete_v1.py, trace_net_engineering_engram_answer_runner_overlay_llm_smoke_v1.py, trace_net_engineering_engram_answer_runner_prompt_overlay_smoke_v1.py, trace_net_engineering_engram_answer_runner_retrieval_bridge_v1.py, trace_net_engineering_engram_answer_smoke_overlay_integration_gate_v1.py, trace_net_engineering_e</x:v>
      </x:c>
    </x:row>
    <x:row r="10">
      <x:c r="A10" s="59" t="str">
        <x:v>src/trace_net/feedback/</x:v>
      </x:c>
      <x:c r="B10" s="62" t="n">
        <x:f>COUNTIF('File Plan'!G$2:G$563,A10)</x:f>
        <x:v>6</x:v>
      </x:c>
      <x:c r="C10" s="62" t="n">
        <x:f>COUNTIFS('File Plan'!G$2:G$563,A10,'File Plan'!F$2:F$563,"&lt;&gt;legacy")</x:f>
        <x:v>6</x:v>
      </x:c>
      <x:c r="D10" s="62" t="n">
        <x:f>COUNTIFS('File Plan'!G$2:G$563,A10,'File Plan'!F$2:F$563,"legacy")</x:f>
        <x:v>0</x:v>
      </x:c>
      <x:c r="E10" s="62" t="n">
        <x:f>COUNTIFS('File Plan'!G$2:G$563,A10,'File Plan'!Z$2:Z$563,"Protected runtime")</x:f>
        <x:v>0</x:v>
      </x:c>
      <x:c r="F10" s="62" t="n">
        <x:f>COUNTIFS('File Plan'!G$2:G$563,A10,'File Plan'!Z$2:Z$563,"Compatibility required")+COUNTIFS('File Plan'!G$2:G$563,A10,'File Plan'!Z$2:Z$563,"Protected runtime")</x:f>
        <x:v>6</x:v>
      </x:c>
      <x:c r="G10" s="62" t="n">
        <x:f>SUMIF('File Plan'!G$2:G$563,A10,'File Plan'!X$2:X$563)</x:f>
        <x:v>164341</x:v>
      </x:c>
      <x:c r="H10" s="59" t="str">
        <x:v>feedback_session.py, streamlit_trace_feedback.py, trace_net_feedback.py, trace_net_feedback_ask_simulation.py, trace_net_feedback_memory_v1.py, trace_net_incident_review_bridge_v1.py</x:v>
      </x:c>
    </x:row>
    <x:row r="11">
      <x:c r="A11" s="59" t="str">
        <x:v>src/trace_net/graph/</x:v>
      </x:c>
      <x:c r="B11" s="62" t="n">
        <x:f>COUNTIF('File Plan'!G$2:G$563,A11)</x:f>
        <x:v>35</x:v>
      </x:c>
      <x:c r="C11" s="62" t="n">
        <x:f>COUNTIFS('File Plan'!G$2:G$563,A11,'File Plan'!F$2:F$563,"&lt;&gt;legacy")</x:f>
        <x:v>35</x:v>
      </x:c>
      <x:c r="D11" s="62" t="n">
        <x:f>COUNTIFS('File Plan'!G$2:G$563,A11,'File Plan'!F$2:F$563,"legacy")</x:f>
        <x:v>0</x:v>
      </x:c>
      <x:c r="E11" s="62" t="n">
        <x:f>COUNTIFS('File Plan'!G$2:G$563,A11,'File Plan'!Z$2:Z$563,"Protected runtime")</x:f>
        <x:v>1</x:v>
      </x:c>
      <x:c r="F11" s="62" t="n">
        <x:f>COUNTIFS('File Plan'!G$2:G$563,A11,'File Plan'!Z$2:Z$563,"Compatibility required")+COUNTIFS('File Plan'!G$2:G$563,A11,'File Plan'!Z$2:Z$563,"Protected runtime")</x:f>
        <x:v>35</x:v>
      </x:c>
      <x:c r="G11" s="62" t="n">
        <x:f>SUMIF('File Plan'!G$2:G$563,A11,'File Plan'!X$2:X$563)</x:f>
        <x:v>1261983</x:v>
      </x:c>
      <x:c r="H11" s="59" t="str">
        <x:v>document_graph_traceability.py, document_graph_traversal.py, document_organization_graph.py, entity_trait_graph.py, graph_org_chart_site.py, graph_setup_report.py, trace_net_ai_trace_pack_v1.py, trace_net_anchor_aware_graph_leiden_expander_v1.py, trace_net_answer_context_graph_leiden_expander_v1.py, trace_net_category_aware_graph_ui_overlay_v1.py, trace_net_category_aware_leide</x:v>
      </x:c>
    </x:row>
    <x:row r="12">
      <x:c r="A12" s="59" t="str">
        <x:v>src/trace_net/graph/quality/</x:v>
      </x:c>
      <x:c r="B12" s="62" t="n">
        <x:f>COUNTIF('File Plan'!G$2:G$563,A12)</x:f>
        <x:v>8</x:v>
      </x:c>
      <x:c r="C12" s="62" t="n">
        <x:f>COUNTIFS('File Plan'!G$2:G$563,A12,'File Plan'!F$2:F$563,"&lt;&gt;legacy")</x:f>
        <x:v>8</x:v>
      </x:c>
      <x:c r="D12" s="62" t="n">
        <x:f>COUNTIFS('File Plan'!G$2:G$563,A12,'File Plan'!F$2:F$563,"legacy")</x:f>
        <x:v>0</x:v>
      </x:c>
      <x:c r="E12" s="62" t="n">
        <x:f>COUNTIFS('File Plan'!G$2:G$563,A12,'File Plan'!Z$2:Z$563,"Protected runtime")</x:f>
        <x:v>0</x:v>
      </x:c>
      <x:c r="F12" s="62" t="n">
        <x:f>COUNTIFS('File Plan'!G$2:G$563,A12,'File Plan'!Z$2:Z$563,"Compatibility required")+COUNTIFS('File Plan'!G$2:G$563,A12,'File Plan'!Z$2:Z$563,"Protected runtime")</x:f>
        <x:v>8</x:v>
      </x:c>
      <x:c r="G12" s="62" t="n">
        <x:f>SUMIF('File Plan'!G$2:G$563,A12,'File Plan'!X$2:X$563)</x:f>
        <x:v>109851</x:v>
      </x:c>
      <x:c r="H12" s="59" t="str">
        <x:v>document_graph_quality.py, entity_trait_graph_quality.py, trace_net_graph_audit_quality.py, trace_net_graph_explorer_quality.py, trace_net_leiden_community_quality_audit_v1.py, trace_net_leiden_quality.py, trace_net_postgres_quality.py, trace_net_postgres_trust_overlay_quality.py</x:v>
      </x:c>
    </x:row>
    <x:row r="13">
      <x:c r="A13" s="59" t="str">
        <x:v>src/trace_net/ingestion/</x:v>
      </x:c>
      <x:c r="B13" s="62" t="n">
        <x:f>COUNTIF('File Plan'!G$2:G$563,A13)</x:f>
        <x:v>72</x:v>
      </x:c>
      <x:c r="C13" s="62" t="n">
        <x:f>COUNTIFS('File Plan'!G$2:G$563,A13,'File Plan'!F$2:F$563,"&lt;&gt;legacy")</x:f>
        <x:v>72</x:v>
      </x:c>
      <x:c r="D13" s="62" t="n">
        <x:f>COUNTIFS('File Plan'!G$2:G$563,A13,'File Plan'!F$2:F$563,"legacy")</x:f>
        <x:v>0</x:v>
      </x:c>
      <x:c r="E13" s="62" t="n">
        <x:f>COUNTIFS('File Plan'!G$2:G$563,A13,'File Plan'!Z$2:Z$563,"Protected runtime")</x:f>
        <x:v>6</x:v>
      </x:c>
      <x:c r="F13" s="62" t="n">
        <x:f>COUNTIFS('File Plan'!G$2:G$563,A13,'File Plan'!Z$2:Z$563,"Compatibility required")+COUNTIFS('File Plan'!G$2:G$563,A13,'File Plan'!Z$2:Z$563,"Protected runtime")</x:f>
        <x:v>72</x:v>
      </x:c>
      <x:c r="G13" s="62" t="n">
        <x:f>SUMIF('File Plan'!G$2:G$563,A13,'File Plan'!X$2:X$563)</x:f>
        <x:v>1674396</x:v>
      </x:c>
      <x:c r="H13" s="59" t="str">
        <x:v>changed_page_backend.py, changed_page_update.py, document_batch_audit.py, document_classifier.py, document_organization_audit.py, document_organization_export.py, document_organization_inspector.py, document_organization_query.py, incremental_changed_page_smoke.py, incremental_pipeline.py, incremental_readiness.py, incremental_state.py, inventory.py, json_report.py, local_confi</x:v>
      </x:c>
    </x:row>
    <x:row r="14">
      <x:c r="A14" s="59" t="str">
        <x:v>src/trace_net/ingestion/quality/</x:v>
      </x:c>
      <x:c r="B14" s="62" t="n">
        <x:f>COUNTIF('File Plan'!G$2:G$563,A14)</x:f>
        <x:v>3</x:v>
      </x:c>
      <x:c r="C14" s="62" t="n">
        <x:f>COUNTIFS('File Plan'!G$2:G$563,A14,'File Plan'!F$2:F$563,"&lt;&gt;legacy")</x:f>
        <x:v>3</x:v>
      </x:c>
      <x:c r="D14" s="62" t="n">
        <x:f>COUNTIFS('File Plan'!G$2:G$563,A14,'File Plan'!F$2:F$563,"legacy")</x:f>
        <x:v>0</x:v>
      </x:c>
      <x:c r="E14" s="62" t="n">
        <x:f>COUNTIFS('File Plan'!G$2:G$563,A14,'File Plan'!Z$2:Z$563,"Protected runtime")</x:f>
        <x:v>0</x:v>
      </x:c>
      <x:c r="F14" s="62" t="n">
        <x:f>COUNTIFS('File Plan'!G$2:G$563,A14,'File Plan'!Z$2:Z$563,"Compatibility required")+COUNTIFS('File Plan'!G$2:G$563,A14,'File Plan'!Z$2:Z$563,"Protected runtime")</x:f>
        <x:v>3</x:v>
      </x:c>
      <x:c r="G14" s="62" t="n">
        <x:f>SUMIF('File Plan'!G$2:G$563,A14,'File Plan'!X$2:X$563)</x:f>
        <x:v>31495</x:v>
      </x:c>
      <x:c r="H14" s="59" t="str">
        <x:v>trace_net_page_ink_route_evidence_v1_quality.py, trace_net_page_route_manifest_v1_quality.py, trace_net_scan_quality_assessment_v1.py</x:v>
      </x:c>
    </x:row>
    <x:row r="15">
      <x:c r="A15" s="59" t="str">
        <x:v>src/trace_net/ocr/</x:v>
      </x:c>
      <x:c r="B15" s="62" t="n">
        <x:f>COUNTIF('File Plan'!G$2:G$563,A15)</x:f>
        <x:v>22</x:v>
      </x:c>
      <x:c r="C15" s="62" t="n">
        <x:f>COUNTIFS('File Plan'!G$2:G$563,A15,'File Plan'!F$2:F$563,"&lt;&gt;legacy")</x:f>
        <x:v>22</x:v>
      </x:c>
      <x:c r="D15" s="62" t="n">
        <x:f>COUNTIFS('File Plan'!G$2:G$563,A15,'File Plan'!F$2:F$563,"legacy")</x:f>
        <x:v>0</x:v>
      </x:c>
      <x:c r="E15" s="62" t="n">
        <x:f>COUNTIFS('File Plan'!G$2:G$563,A15,'File Plan'!Z$2:Z$563,"Protected runtime")</x:f>
        <x:v>0</x:v>
      </x:c>
      <x:c r="F15" s="62" t="n">
        <x:f>COUNTIFS('File Plan'!G$2:G$563,A15,'File Plan'!Z$2:Z$563,"Compatibility required")+COUNTIFS('File Plan'!G$2:G$563,A15,'File Plan'!Z$2:Z$563,"Protected runtime")</x:f>
        <x:v>22</x:v>
      </x:c>
      <x:c r="G15" s="62" t="n">
        <x:f>SUMIF('File Plan'!G$2:G$563,A15,'File Plan'!X$2:X$563)</x:f>
        <x:v>579000</x:v>
      </x:c>
      <x:c r="H15" s="59" t="str">
        <x:v>ocr_cleanup.py, ocr_coverage_audit.py, ocr_depth_audit.py, ocr_pilot.py, ocr_pilot_progress.py, title_block_ocr.py, trace_net_fishnet_accepted_route_manifest_v1.py, trace_net_fishnet_ocr_grid_v1.py, trace_net_fishnet_retry_engine_v1.py, trace_net_fishnet_retry_refinement_v1.py, trace_net_fishnet_route_dispatch_handoff_v1.py, trace_net_fishnet_route_manifest_overlay_v1.py, trace</x:v>
      </x:c>
    </x:row>
    <x:row r="16">
      <x:c r="A16" s="59" t="str">
        <x:v>src/trace_net/retrieval/</x:v>
      </x:c>
      <x:c r="B16" s="62" t="n">
        <x:f>COUNTIF('File Plan'!G$2:G$563,A16)</x:f>
        <x:v>32</x:v>
      </x:c>
      <x:c r="C16" s="62" t="n">
        <x:f>COUNTIFS('File Plan'!G$2:G$563,A16,'File Plan'!F$2:F$563,"&lt;&gt;legacy")</x:f>
        <x:v>32</x:v>
      </x:c>
      <x:c r="D16" s="62" t="n">
        <x:f>COUNTIFS('File Plan'!G$2:G$563,A16,'File Plan'!F$2:F$563,"legacy")</x:f>
        <x:v>0</x:v>
      </x:c>
      <x:c r="E16" s="62" t="n">
        <x:f>COUNTIFS('File Plan'!G$2:G$563,A16,'File Plan'!Z$2:Z$563,"Protected runtime")</x:f>
        <x:v>6</x:v>
      </x:c>
      <x:c r="F16" s="62" t="n">
        <x:f>COUNTIFS('File Plan'!G$2:G$563,A16,'File Plan'!Z$2:Z$563,"Compatibility required")+COUNTIFS('File Plan'!G$2:G$563,A16,'File Plan'!Z$2:Z$563,"Protected runtime")</x:f>
        <x:v>32</x:v>
      </x:c>
      <x:c r="G16" s="62" t="n">
        <x:f>SUMIF('File Plan'!G$2:G$563,A16,'File Plan'!X$2:X$563)</x:f>
        <x:v>1235437</x:v>
      </x:c>
      <x:c r="H16" s="59" t="str">
        <x:v>rag_retriever.py, search_index.py, search_results_html.py, search_web_ui.py, trace_net_context_retrieval_helper_v1.py, trace_net_corrective_retrieval_planner_v1.py, trace_net_e2e_dynamic_query_tunnels_v3.py, trace_net_e2e_dynamic_tunnel_ranker_v6.py, trace_net_e2e_hybrid_retrieval_runtime_v1.py, trace_net_e2e_optional_tunnel_activator_v5.py, trace_net_feedback_search_simulation</x:v>
      </x:c>
    </x:row>
    <x:row r="17">
      <x:c r="A17" s="59" t="str">
        <x:v>src/trace_net/retrieval/quality/</x:v>
      </x:c>
      <x:c r="B17" s="62" t="n">
        <x:f>COUNTIF('File Plan'!G$2:G$563,A17)</x:f>
        <x:v>8</x:v>
      </x:c>
      <x:c r="C17" s="62" t="n">
        <x:f>COUNTIFS('File Plan'!G$2:G$563,A17,'File Plan'!F$2:F$563,"&lt;&gt;legacy")</x:f>
        <x:v>8</x:v>
      </x:c>
      <x:c r="D17" s="62" t="n">
        <x:f>COUNTIFS('File Plan'!G$2:G$563,A17,'File Plan'!F$2:F$563,"legacy")</x:f>
        <x:v>0</x:v>
      </x:c>
      <x:c r="E17" s="62" t="n">
        <x:f>COUNTIFS('File Plan'!G$2:G$563,A17,'File Plan'!Z$2:Z$563,"Protected runtime")</x:f>
        <x:v>0</x:v>
      </x:c>
      <x:c r="F17" s="62" t="n">
        <x:f>COUNTIFS('File Plan'!G$2:G$563,A17,'File Plan'!Z$2:Z$563,"Compatibility required")+COUNTIFS('File Plan'!G$2:G$563,A17,'File Plan'!Z$2:Z$563,"Protected runtime")</x:f>
        <x:v>8</x:v>
      </x:c>
      <x:c r="G17" s="62" t="n">
        <x:f>SUMIF('File Plan'!G$2:G$563,A17,'File Plan'!X$2:X$563)</x:f>
        <x:v>107549</x:v>
      </x:c>
      <x:c r="H17" s="59" t="str">
        <x:v>trace_net_feedback_search_simulation_quality.py, trace_net_hybrid_retrieval_v3_quality.py, trace_net_opensearch_adapter_lineage_guard_v1.py, trace_net_rag_candidate_index_quality.py, trace_net_rag_search_quality.py, trace_net_search_grouper_quality.py, trace_net_weighted_search_calibration_quality.py, trace_net_weighted_search_simulation_quality.py</x:v>
      </x:c>
    </x:row>
    <x:row r="18">
      <x:c r="A18" s="59" t="str">
        <x:v>src/trace_net/router/</x:v>
      </x:c>
      <x:c r="B18" s="62" t="n">
        <x:f>COUNTIF('File Plan'!G$2:G$563,A18)</x:f>
        <x:v>17</x:v>
      </x:c>
      <x:c r="C18" s="62" t="n">
        <x:f>COUNTIFS('File Plan'!G$2:G$563,A18,'File Plan'!F$2:F$563,"&lt;&gt;legacy")</x:f>
        <x:v>17</x:v>
      </x:c>
      <x:c r="D18" s="62" t="n">
        <x:f>COUNTIFS('File Plan'!G$2:G$563,A18,'File Plan'!F$2:F$563,"legacy")</x:f>
        <x:v>0</x:v>
      </x:c>
      <x:c r="E18" s="62" t="n">
        <x:f>COUNTIFS('File Plan'!G$2:G$563,A18,'File Plan'!Z$2:Z$563,"Protected runtime")</x:f>
        <x:v>0</x:v>
      </x:c>
      <x:c r="F18" s="62" t="n">
        <x:f>COUNTIFS('File Plan'!G$2:G$563,A18,'File Plan'!Z$2:Z$563,"Compatibility required")+COUNTIFS('File Plan'!G$2:G$563,A18,'File Plan'!Z$2:Z$563,"Protected runtime")</x:f>
        <x:v>17</x:v>
      </x:c>
      <x:c r="G18" s="62" t="n">
        <x:f>SUMIF('File Plan'!G$2:G$563,A18,'File Plan'!X$2:X$563)</x:f>
        <x:v>381273</x:v>
      </x:c>
      <x:c r="H18" s="59" t="str">
        <x:v>rag_router.py, trace_net_e2e_calibrated_cascade_route_brain_v35_3.py, trace_net_e2e_query_planning_routing_v1.py, trace_net_e2e_relationship_router_hardening_v29_1.py, trace_net_follow_up_question_planner_v1.py, trace_net_four_route_operational_resolver_v1.py, trace_net_query_atom_router_v1.py, trace_net_route_confidence_resolver_v1.py, trace_net_route_contract_integration_audi</x:v>
      </x:c>
    </x:row>
    <x:row r="19">
      <x:c r="A19" s="59" t="str">
        <x:v>src/trace_net/router/quality/</x:v>
      </x:c>
      <x:c r="B19" s="62" t="n">
        <x:f>COUNTIF('File Plan'!G$2:G$563,A19)</x:f>
        <x:v>2</x:v>
      </x:c>
      <x:c r="C19" s="62" t="n">
        <x:f>COUNTIFS('File Plan'!G$2:G$563,A19,'File Plan'!F$2:F$563,"&lt;&gt;legacy")</x:f>
        <x:v>2</x:v>
      </x:c>
      <x:c r="D19" s="62" t="n">
        <x:f>COUNTIFS('File Plan'!G$2:G$563,A19,'File Plan'!F$2:F$563,"legacy")</x:f>
        <x:v>0</x:v>
      </x:c>
      <x:c r="E19" s="62" t="n">
        <x:f>COUNTIFS('File Plan'!G$2:G$563,A19,'File Plan'!Z$2:Z$563,"Protected runtime")</x:f>
        <x:v>0</x:v>
      </x:c>
      <x:c r="F19" s="62" t="n">
        <x:f>COUNTIFS('File Plan'!G$2:G$563,A19,'File Plan'!Z$2:Z$563,"Compatibility required")+COUNTIFS('File Plan'!G$2:G$563,A19,'File Plan'!Z$2:Z$563,"Protected runtime")</x:f>
        <x:v>2</x:v>
      </x:c>
      <x:c r="G19" s="62" t="n">
        <x:f>SUMIF('File Plan'!G$2:G$563,A19,'File Plan'!X$2:X$563)</x:f>
        <x:v>33811</x:v>
      </x:c>
      <x:c r="H19" s="59" t="str">
        <x:v>trace_net_four_route_storage_gate_v1.py, trace_net_route_enforcement_mission_gate_v1.py</x:v>
      </x:c>
    </x:row>
    <x:row r="20">
      <x:c r="A20" s="59" t="str">
        <x:v>src/trace_net/serving/</x:v>
      </x:c>
      <x:c r="B20" s="62" t="n">
        <x:f>COUNTIF('File Plan'!G$2:G$563,A20)</x:f>
        <x:v>43</x:v>
      </x:c>
      <x:c r="C20" s="62" t="n">
        <x:f>COUNTIFS('File Plan'!G$2:G$563,A20,'File Plan'!F$2:F$563,"&lt;&gt;legacy")</x:f>
        <x:v>43</x:v>
      </x:c>
      <x:c r="D20" s="62" t="n">
        <x:f>COUNTIFS('File Plan'!G$2:G$563,A20,'File Plan'!F$2:F$563,"legacy")</x:f>
        <x:v>0</x:v>
      </x:c>
      <x:c r="E20" s="62" t="n">
        <x:f>COUNTIFS('File Plan'!G$2:G$563,A20,'File Plan'!Z$2:Z$563,"Protected runtime")</x:f>
        <x:v>31</x:v>
      </x:c>
      <x:c r="F20" s="62" t="n">
        <x:f>COUNTIFS('File Plan'!G$2:G$563,A20,'File Plan'!Z$2:Z$563,"Compatibility required")+COUNTIFS('File Plan'!G$2:G$563,A20,'File Plan'!Z$2:Z$563,"Protected runtime")</x:f>
        <x:v>42</x:v>
      </x:c>
      <x:c r="G20" s="62" t="n">
        <x:f>SUMIF('File Plan'!G$2:G$563,A20,'File Plan'!X$2:X$563)</x:f>
        <x:v>1478254</x:v>
      </x:c>
      <x:c r="H20" s="59" t="str">
        <x:v>api_adapter_backend.py, api_adapter_services.py, api_backend.py, api_store_adapters.py, rag_web_ui.py, real_server_inventory.py, server_access_runbook.py, streamlit_api_client.py, trace_net_artifact_dirty_planner_v1.py, trace_net_ask_api_dynamic_retrieval_v2.py, trace_net_ask_api_final_return_policy_hybrid_v3_v22.py, trace_net_ask_api_final_return_policy_v21.py, trace_net_ask_a</x:v>
      </x:c>
    </x:row>
    <x:row r="21">
      <x:c r="A21" s="59" t="str">
        <x:v>src/trace_net/tables/</x:v>
      </x:c>
      <x:c r="B21" s="62" t="n">
        <x:f>COUNTIF('File Plan'!G$2:G$563,A21)</x:f>
        <x:v>50</x:v>
      </x:c>
      <x:c r="C21" s="62" t="n">
        <x:f>COUNTIFS('File Plan'!G$2:G$563,A21,'File Plan'!F$2:F$563,"&lt;&gt;legacy")</x:f>
        <x:v>50</x:v>
      </x:c>
      <x:c r="D21" s="62" t="n">
        <x:f>COUNTIFS('File Plan'!G$2:G$563,A21,'File Plan'!F$2:F$563,"legacy")</x:f>
        <x:v>0</x:v>
      </x:c>
      <x:c r="E21" s="62" t="n">
        <x:f>COUNTIFS('File Plan'!G$2:G$563,A21,'File Plan'!Z$2:Z$563,"Protected runtime")</x:f>
        <x:v>0</x:v>
      </x:c>
      <x:c r="F21" s="62" t="n">
        <x:f>COUNTIFS('File Plan'!G$2:G$563,A21,'File Plan'!Z$2:Z$563,"Compatibility required")+COUNTIFS('File Plan'!G$2:G$563,A21,'File Plan'!Z$2:Z$563,"Protected runtime")</x:f>
        <x:v>50</x:v>
      </x:c>
      <x:c r="G21" s="62" t="n">
        <x:f>SUMIF('File Plan'!G$2:G$563,A21,'File Plan'!X$2:X$563)</x:f>
        <x:v>1759742</x:v>
      </x:c>
      <x:c r="H21" s="59" t="str">
        <x:v>trace_net_gold_label_review_workbook_v1.py, trace_net_human_review_decision_recorder_v1.py, trace_net_human_review_queue_table_geometry_integration_v1.py, trace_net_table_bbox_resolver_v1.py, trace_net_table_bbox_scoped_cell_extraction_v1.py, trace_net_table_candidate_scan.py, trace_net_table_cell_normalizer_v1.py, trace_net_table_crop_margin_expansion_experiment_v1.py, trace_n</x:v>
      </x:c>
    </x:row>
    <x:row r="22">
      <x:c r="A22" s="59" t="str">
        <x:v>src/trace_net/tables/quality/</x:v>
      </x:c>
      <x:c r="B22" s="62" t="n">
        <x:f>COUNTIF('File Plan'!G$2:G$563,A22)</x:f>
        <x:v>31</x:v>
      </x:c>
      <x:c r="C22" s="62" t="n">
        <x:f>COUNTIFS('File Plan'!G$2:G$563,A22,'File Plan'!F$2:F$563,"&lt;&gt;legacy")</x:f>
        <x:v>31</x:v>
      </x:c>
      <x:c r="D22" s="62" t="n">
        <x:f>COUNTIFS('File Plan'!G$2:G$563,A22,'File Plan'!F$2:F$563,"legacy")</x:f>
        <x:v>0</x:v>
      </x:c>
      <x:c r="E22" s="62" t="n">
        <x:f>COUNTIFS('File Plan'!G$2:G$563,A22,'File Plan'!Z$2:Z$563,"Protected runtime")</x:f>
        <x:v>0</x:v>
      </x:c>
      <x:c r="F22" s="62" t="n">
        <x:f>COUNTIFS('File Plan'!G$2:G$563,A22,'File Plan'!Z$2:Z$563,"Compatibility required")+COUNTIFS('File Plan'!G$2:G$563,A22,'File Plan'!Z$2:Z$563,"Protected runtime")</x:f>
        <x:v>31</x:v>
      </x:c>
      <x:c r="G22" s="62" t="n">
        <x:f>SUMIF('File Plan'!G$2:G$563,A22,'File Plan'!X$2:X$563)</x:f>
        <x:v>179414</x:v>
      </x:c>
      <x:c r="H22" s="59" t="str">
        <x:v>trace_net_human_review_queue_table_geometry_integration_v1_quality.py, trace_net_table_bbox_resolver_v1_quality.py, trace_net_table_bbox_scoped_cell_extraction_v1_quality.py, trace_net_table_crop_completeness_guard_v1.py, trace_net_table_crop_completeness_guard_v1_quality.py, trace_net_table_crop_margin_expansion_experiment_v1_quality.py, trace_net_table_crop_selection_diagnost</x:v>
      </x:c>
    </x:row>
    <x:row r="23">
      <x:c r="A23" s="59" t="str">
        <x:v>src/trace_net/validation/</x:v>
      </x:c>
      <x:c r="B23" s="62" t="n">
        <x:f>COUNTIF('File Plan'!G$2:G$563,A23)</x:f>
        <x:v>92</x:v>
      </x:c>
      <x:c r="C23" s="62" t="n">
        <x:f>COUNTIFS('File Plan'!G$2:G$563,A23,'File Plan'!F$2:F$563,"&lt;&gt;legacy")</x:f>
        <x:v>92</x:v>
      </x:c>
      <x:c r="D23" s="62" t="n">
        <x:f>COUNTIFS('File Plan'!G$2:G$563,A23,'File Plan'!F$2:F$563,"legacy")</x:f>
        <x:v>0</x:v>
      </x:c>
      <x:c r="E23" s="62" t="n">
        <x:f>COUNTIFS('File Plan'!G$2:G$563,A23,'File Plan'!Z$2:Z$563,"Protected runtime")</x:f>
        <x:v>13</x:v>
      </x:c>
      <x:c r="F23" s="62" t="n">
        <x:f>COUNTIFS('File Plan'!G$2:G$563,A23,'File Plan'!Z$2:Z$563,"Compatibility required")+COUNTIFS('File Plan'!G$2:G$563,A23,'File Plan'!Z$2:Z$563,"Protected runtime")</x:f>
        <x:v>90</x:v>
      </x:c>
      <x:c r="G23" s="62" t="n">
        <x:f>SUMIF('File Plan'!G$2:G$563,A23,'File Plan'!X$2:X$563)</x:f>
        <x:v>2007641</x:v>
      </x:c>
      <x:c r="H23" s="59" t="str">
        <x:v>api_adapter_quality.py, api_contract_quality.py, page_context_v2_quality.py, pipeline_quality.py, rag_eval.py, rag_eval_questions.py, rag_model_eval.py, source_package_quality.py, trace_net_algorithm_policy_quality.py, trace_net_answer_claim_critic_v1.py, trace_net_answer_context_engineering_pack_v1.py, trace_net_answer_quality.py, trace_net_answer_quality_gate_v1.py, trace_net</x:v>
      </x:c>
    </x:row>
    <x:row r="24">
      <x:c r="A24" s="59" t="str">
        <x:v>src/trace_net/visual/</x:v>
      </x:c>
      <x:c r="B24" s="62" t="n">
        <x:f>COUNTIF('File Plan'!G$2:G$563,A24)</x:f>
        <x:v>27</x:v>
      </x:c>
      <x:c r="C24" s="62" t="n">
        <x:f>COUNTIFS('File Plan'!G$2:G$563,A24,'File Plan'!F$2:F$563,"&lt;&gt;legacy")</x:f>
        <x:v>27</x:v>
      </x:c>
      <x:c r="D24" s="62" t="n">
        <x:f>COUNTIFS('File Plan'!G$2:G$563,A24,'File Plan'!F$2:F$563,"legacy")</x:f>
        <x:v>0</x:v>
      </x:c>
      <x:c r="E24" s="62" t="n">
        <x:f>COUNTIFS('File Plan'!G$2:G$563,A24,'File Plan'!Z$2:Z$563,"Protected runtime")</x:f>
        <x:v>5</x:v>
      </x:c>
      <x:c r="F24" s="62" t="n">
        <x:f>COUNTIFS('File Plan'!G$2:G$563,A24,'File Plan'!Z$2:Z$563,"Compatibility required")+COUNTIFS('File Plan'!G$2:G$563,A24,'File Plan'!Z$2:Z$563,"Protected runtime")</x:f>
        <x:v>27</x:v>
      </x:c>
      <x:c r="G24" s="62" t="n">
        <x:f>SUMIF('File Plan'!G$2:G$563,A24,'File Plan'!X$2:X$563)</x:f>
        <x:v>852392</x:v>
      </x:c>
      <x:c r="H24" s="59" t="str">
        <x:v>graph_visualization.py, page_image_recognition.py, page_visual_object_audit.py, trace_net_callout_visual_part_verifier_v1.py, trace_net_e2e_corrected_visual_context_builder_v35_4.py, trace_net_e2e_route_brain_image_page_audit_v35_1.py, trace_net_e2e_route_scoped_visual_context_builder_v35.py, trace_net_fast_chat_runner_image_route_integrator_v1.py, trace_net_figure_chart_unders</x:v>
      </x:c>
    </x:row>
    <x:row r="25">
      <x:c r="A25" s="59" t="str">
        <x:v>src/trace_net/visual/quality/</x:v>
      </x:c>
      <x:c r="B25" s="62" t="n">
        <x:f>COUNTIF('File Plan'!G$2:G$563,A25)</x:f>
        <x:v>5</x:v>
      </x:c>
      <x:c r="C25" s="62" t="n">
        <x:f>COUNTIFS('File Plan'!G$2:G$563,A25,'File Plan'!F$2:F$563,"&lt;&gt;legacy")</x:f>
        <x:v>5</x:v>
      </x:c>
      <x:c r="D25" s="62" t="n">
        <x:f>COUNTIFS('File Plan'!G$2:G$563,A25,'File Plan'!F$2:F$563,"legacy")</x:f>
        <x:v>0</x:v>
      </x:c>
      <x:c r="E25" s="62" t="n">
        <x:f>COUNTIFS('File Plan'!G$2:G$563,A25,'File Plan'!Z$2:Z$563,"Protected runtime")</x:f>
        <x:v>0</x:v>
      </x:c>
      <x:c r="F25" s="62" t="n">
        <x:f>COUNTIFS('File Plan'!G$2:G$563,A25,'File Plan'!Z$2:Z$563,"Compatibility required")+COUNTIFS('File Plan'!G$2:G$563,A25,'File Plan'!Z$2:Z$563,"Protected runtime")</x:f>
        <x:v>4</x:v>
      </x:c>
      <x:c r="G25" s="62" t="n">
        <x:f>SUMIF('File Plan'!G$2:G$563,A25,'File Plan'!X$2:X$563)</x:f>
        <x:v>56688</x:v>
      </x:c>
      <x:c r="H25" s="59" t="str">
        <x:v>page_image_recognition_quality.py, page_visual_object_quality.py, trace_net_image_route_multi_route_quality_gate_v1.py, visual_text_extraction_quality.py, visual_text_quality.py</x:v>
      </x:c>
    </x:row>
    <x:row r="26">
      <x:c r="A26" s="59" t="str">
        <x:v>src/trace_net/writing/</x:v>
      </x:c>
      <x:c r="B26" s="62" t="n">
        <x:f>COUNTIF('File Plan'!G$2:G$563,A26)</x:f>
        <x:v>13</x:v>
      </x:c>
      <x:c r="C26" s="62" t="n">
        <x:f>COUNTIFS('File Plan'!G$2:G$563,A26,'File Plan'!F$2:F$563,"&lt;&gt;legacy")</x:f>
        <x:v>13</x:v>
      </x:c>
      <x:c r="D26" s="62" t="n">
        <x:f>COUNTIFS('File Plan'!G$2:G$563,A26,'File Plan'!F$2:F$563,"legacy")</x:f>
        <x:v>0</x:v>
      </x:c>
      <x:c r="E26" s="62" t="n">
        <x:f>COUNTIFS('File Plan'!G$2:G$563,A26,'File Plan'!Z$2:Z$563,"Protected runtime")</x:f>
        <x:v>3</x:v>
      </x:c>
      <x:c r="F26" s="62" t="n">
        <x:f>COUNTIFS('File Plan'!G$2:G$563,A26,'File Plan'!Z$2:Z$563,"Compatibility required")+COUNTIFS('File Plan'!G$2:G$563,A26,'File Plan'!Z$2:Z$563,"Protected runtime")</x:f>
        <x:v>13</x:v>
      </x:c>
      <x:c r="G26" s="62" t="n">
        <x:f>SUMIF('File Plan'!G$2:G$563,A26,'File Plan'!X$2:X$563)</x:f>
        <x:v>370643</x:v>
      </x:c>
      <x:c r="H26" s="59" t="str">
        <x:v>trace_net_answer_composer.py, trace_net_citation_answer_draft_v1.py, trace_net_engineering_answer_composer_v1.py, trace_net_engineering_answer_runner_v1.py, trace_net_engineering_gemma_draft_adapter_v1.py, trace_net_engineering_gemma_draft_retry_prompt_v1.py, trace_net_engineering_gemma_draft_runner_v1.py, trace_net_engineering_intent_answer_composer_v1.py, trace_net_engineerin</x:v>
      </x:c>
    </x:row>
    <x:row r="27">
      <x:c r="A27" s="59" t="str">
        <x:v>tests/integration/</x:v>
      </x:c>
      <x:c r="B27" s="62" t="n">
        <x:f>COUNTIF('File Plan'!G$2:G$563,A27)</x:f>
        <x:v>2</x:v>
      </x:c>
      <x:c r="C27" s="62" t="n">
        <x:f>COUNTIFS('File Plan'!G$2:G$563,A27,'File Plan'!F$2:F$563,"&lt;&gt;legacy")</x:f>
        <x:v>2</x:v>
      </x:c>
      <x:c r="D27" s="62" t="n">
        <x:f>COUNTIFS('File Plan'!G$2:G$563,A27,'File Plan'!F$2:F$563,"legacy")</x:f>
        <x:v>0</x:v>
      </x:c>
      <x:c r="E27" s="62" t="n">
        <x:f>COUNTIFS('File Plan'!G$2:G$563,A27,'File Plan'!Z$2:Z$563,"Protected runtime")</x:f>
        <x:v>2</x:v>
      </x:c>
      <x:c r="F27" s="62" t="n">
        <x:f>COUNTIFS('File Plan'!G$2:G$563,A27,'File Plan'!Z$2:Z$563,"Compatibility required")+COUNTIFS('File Plan'!G$2:G$563,A27,'File Plan'!Z$2:Z$563,"Protected runtime")</x:f>
        <x:v>2</x:v>
      </x:c>
      <x:c r="G27" s="62" t="n">
        <x:f>SUMIF('File Plan'!G$2:G$563,A27,'File Plan'!X$2:X$563)</x:f>
        <x:v>22298</x:v>
      </x:c>
      <x:c r="H27" s="59" t="str">
        <x:v>api_contract_tests.py, user_query_tests.py</x:v>
      </x:c>
    </x:row>
    <x:row r="28">
      <x:c r="A28" s="59" t="str">
        <x:v>tests/regression/</x:v>
      </x:c>
      <x:c r="B28" s="62" t="n">
        <x:f>COUNTIF('File Plan'!G$2:G$563,A28)</x:f>
        <x:v>3</x:v>
      </x:c>
      <x:c r="C28" s="62" t="n">
        <x:f>COUNTIFS('File Plan'!G$2:G$563,A28,'File Plan'!F$2:F$563,"&lt;&gt;legacy")</x:f>
        <x:v>3</x:v>
      </x:c>
      <x:c r="D28" s="62" t="n">
        <x:f>COUNTIFS('File Plan'!G$2:G$563,A28,'File Plan'!F$2:F$563,"legacy")</x:f>
        <x:v>0</x:v>
      </x:c>
      <x:c r="E28" s="62" t="n">
        <x:f>COUNTIFS('File Plan'!G$2:G$563,A28,'File Plan'!Z$2:Z$563,"Protected runtime")</x:f>
        <x:v>0</x:v>
      </x:c>
      <x:c r="F28" s="62" t="n">
        <x:f>COUNTIFS('File Plan'!G$2:G$563,A28,'File Plan'!Z$2:Z$563,"Compatibility required")+COUNTIFS('File Plan'!G$2:G$563,A28,'File Plan'!Z$2:Z$563,"Protected runtime")</x:f>
        <x:v>0</x:v>
      </x:c>
      <x:c r="G28" s="62" t="n">
        <x:f>SUMIF('File Plan'!G$2:G$563,A28,'File Plan'!X$2:X$563)</x:f>
        <x:v>78543</x:v>
      </x:c>
      <x:c r="H28" s="59" t="str">
        <x:v>trace_net_regression_eval_v1.py, trace_net_regression_report.py, trace_net_regression_report_quality.py</x:v>
      </x:c>
    </x:row>
    <x:row r="29">
      <x:c r="E29" t="n">
        <x:f>COUNTIFS('File Plan'!G$2:G$563,A29,'File Plan'!Z$2:Z$563,"Protected runtime")</x:f>
        <x:v>0</x:v>
      </x:c>
      <x:c r="F29" t="n">
        <x:f>COUNTIFS('File Plan'!G$2:G$563,A29,'File Plan'!Z$2:Z$563,"Compatibility required")+COUNTIFS('File Plan'!G$2:G$563,A29,'File Plan'!Z$2:Z$563,"Protected runtime")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ff29d63c19466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>
      <x:c r="A1" s="44" t="str">
        <x:v>Recommended Area</x:v>
      </x:c>
      <x:c r="B1" s="44" t="str">
        <x:v>File Count</x:v>
      </x:c>
      <x:c r="C1" s="44" t="str">
        <x:v>Percent</x:v>
      </x:c>
      <x:c r="D1" s="44" t="str">
        <x:v>Protected</x:v>
      </x:c>
      <x:c r="E1" s="44" t="str">
        <x:v>Legacy</x:v>
      </x:c>
    </x:row>
    <x:row r="2">
      <x:c r="A2" t="str">
        <x:v>context</x:v>
      </x:c>
      <x:c r="B2" s="18" t="n">
        <x:f>COUNTIF('File Plan'!F$2:F$563,A2)</x:f>
        <x:v>25</x:v>
      </x:c>
      <x:c r="C2" s="80" t="n">
        <x:f>B2/$B$21</x:f>
        <x:v>0.04448398576512456</x:v>
      </x:c>
      <x:c r="D2" t="n">
        <x:f>COUNTIFS('File Plan'!F$2:F$563,A2,'File Plan'!Z$2:Z$563,"Protected runtime")</x:f>
        <x:v>3</x:v>
      </x:c>
      <x:c r="E2" t="n">
        <x:f>COUNTIFS('File Plan'!F$2:F$563,A2,'File Plan'!F$2:F$563,"legacy")</x:f>
        <x:v>0</x:v>
      </x:c>
    </x:row>
    <x:row r="3">
      <x:c r="A3" t="str">
        <x:v>core</x:v>
      </x:c>
      <x:c r="B3" s="18" t="n">
        <x:f>COUNTIF('File Plan'!F$2:F$563,A3)</x:f>
        <x:v>13</x:v>
      </x:c>
      <x:c r="C3" s="80" t="n">
        <x:f>B3/$B$21</x:f>
        <x:v>0.023131672597864767</x:v>
      </x:c>
      <x:c r="D3" t="n">
        <x:f>COUNTIFS('File Plan'!F$2:F$563,A3,'File Plan'!Z$2:Z$563,"Protected runtime")</x:f>
        <x:v>2</x:v>
      </x:c>
      <x:c r="E3" t="n">
        <x:f>COUNTIFS('File Plan'!F$2:F$563,A3,'File Plan'!F$2:F$563,"legacy")</x:f>
        <x:v>0</x:v>
      </x:c>
    </x:row>
    <x:row r="4">
      <x:c r="A4" t="str">
        <x:v>embeddings</x:v>
      </x:c>
      <x:c r="B4" s="18" t="n">
        <x:f>COUNTIF('File Plan'!F$2:F$563,A4)</x:f>
        <x:v>2</x:v>
      </x:c>
      <x:c r="C4" s="80" t="n">
        <x:f>B4/$B$21</x:f>
        <x:v>0.0035587188612099642</x:v>
      </x:c>
      <x:c r="D4" t="n">
        <x:f>COUNTIFS('File Plan'!F$2:F$563,A4,'File Plan'!Z$2:Z$563,"Protected runtime")</x:f>
        <x:v>1</x:v>
      </x:c>
      <x:c r="E4" t="n">
        <x:f>COUNTIFS('File Plan'!F$2:F$563,A4,'File Plan'!F$2:F$563,"legacy")</x:f>
        <x:v>0</x:v>
      </x:c>
    </x:row>
    <x:row r="5">
      <x:c r="A5" t="str">
        <x:v>engram</x:v>
      </x:c>
      <x:c r="B5" s="18" t="n">
        <x:f>COUNTIF('File Plan'!F$2:F$563,A5)</x:f>
        <x:v>19</x:v>
      </x:c>
      <x:c r="C5" s="80" t="n">
        <x:f>B5/$B$21</x:f>
        <x:v>0.033807829181494664</x:v>
      </x:c>
      <x:c r="D5" t="n">
        <x:f>COUNTIFS('File Plan'!F$2:F$563,A5,'File Plan'!Z$2:Z$563,"Protected runtime")</x:f>
        <x:v>2</x:v>
      </x:c>
      <x:c r="E5" t="n">
        <x:f>COUNTIFS('File Plan'!F$2:F$563,A5,'File Plan'!F$2:F$563,"legacy")</x:f>
        <x:v>0</x:v>
      </x:c>
    </x:row>
    <x:row r="6">
      <x:c r="A6" t="str">
        <x:v>feedback</x:v>
      </x:c>
      <x:c r="B6" s="18" t="n">
        <x:f>COUNTIF('File Plan'!F$2:F$563,A6)</x:f>
        <x:v>6</x:v>
      </x:c>
      <x:c r="C6" s="80" t="n">
        <x:f>B6/$B$21</x:f>
        <x:v>0.010676156583629894</x:v>
      </x:c>
      <x:c r="D6" t="n">
        <x:f>COUNTIFS('File Plan'!F$2:F$563,A6,'File Plan'!Z$2:Z$563,"Protected runtime")</x:f>
        <x:v>0</x:v>
      </x:c>
      <x:c r="E6" t="n">
        <x:f>COUNTIFS('File Plan'!F$2:F$563,A6,'File Plan'!F$2:F$563,"legacy")</x:f>
        <x:v>0</x:v>
      </x:c>
    </x:row>
    <x:row r="7">
      <x:c r="A7" t="str">
        <x:v>graph</x:v>
      </x:c>
      <x:c r="B7" s="18" t="n">
        <x:f>COUNTIF('File Plan'!F$2:F$563,A7)</x:f>
        <x:v>43</x:v>
      </x:c>
      <x:c r="C7" s="80" t="n">
        <x:f>B7/$B$21</x:f>
        <x:v>0.07651245551601424</x:v>
      </x:c>
      <x:c r="D7" t="n">
        <x:f>COUNTIFS('File Plan'!F$2:F$563,A7,'File Plan'!Z$2:Z$563,"Protected runtime")</x:f>
        <x:v>1</x:v>
      </x:c>
      <x:c r="E7" t="n">
        <x:f>COUNTIFS('File Plan'!F$2:F$563,A7,'File Plan'!F$2:F$563,"legacy")</x:f>
        <x:v>0</x:v>
      </x:c>
    </x:row>
    <x:row r="8">
      <x:c r="A8" t="str">
        <x:v>ingestion</x:v>
      </x:c>
      <x:c r="B8" s="18" t="n">
        <x:f>COUNTIF('File Plan'!F$2:F$563,A8)</x:f>
        <x:v>75</x:v>
      </x:c>
      <x:c r="C8" s="80" t="n">
        <x:f>B8/$B$21</x:f>
        <x:v>0.13345195729537365</x:v>
      </x:c>
      <x:c r="D8" t="n">
        <x:f>COUNTIFS('File Plan'!F$2:F$563,A8,'File Plan'!Z$2:Z$563,"Protected runtime")</x:f>
        <x:v>6</x:v>
      </x:c>
      <x:c r="E8" t="n">
        <x:f>COUNTIFS('File Plan'!F$2:F$563,A8,'File Plan'!F$2:F$563,"legacy")</x:f>
        <x:v>0</x:v>
      </x:c>
    </x:row>
    <x:row r="9">
      <x:c r="A9" t="str">
        <x:v>legacy</x:v>
      </x:c>
      <x:c r="B9" s="18" t="n">
        <x:f>COUNTIF('File Plan'!F$2:F$563,A9)</x:f>
        <x:v>31</x:v>
      </x:c>
      <x:c r="C9" s="80" t="n">
        <x:f>B9/$B$21</x:f>
        <x:v>0.05516014234875445</x:v>
      </x:c>
      <x:c r="D9" t="n">
        <x:f>COUNTIFS('File Plan'!F$2:F$563,A9,'File Plan'!Z$2:Z$563,"Protected runtime")</x:f>
        <x:v>0</x:v>
      </x:c>
      <x:c r="E9" t="n">
        <x:f>COUNTIFS('File Plan'!F$2:F$563,A9,'File Plan'!F$2:F$563,"legacy")</x:f>
        <x:v>31</x:v>
      </x:c>
    </x:row>
    <x:row r="10">
      <x:c r="A10" t="str">
        <x:v>ocr</x:v>
      </x:c>
      <x:c r="B10" s="18" t="n">
        <x:f>COUNTIF('File Plan'!F$2:F$563,A10)</x:f>
        <x:v>22</x:v>
      </x:c>
      <x:c r="C10" s="80" t="n">
        <x:f>B10/$B$21</x:f>
        <x:v>0.03914590747330961</x:v>
      </x:c>
      <x:c r="D10" t="n">
        <x:f>COUNTIFS('File Plan'!F$2:F$563,A10,'File Plan'!Z$2:Z$563,"Protected runtime")</x:f>
        <x:v>0</x:v>
      </x:c>
      <x:c r="E10" t="n">
        <x:f>COUNTIFS('File Plan'!F$2:F$563,A10,'File Plan'!F$2:F$563,"legacy")</x:f>
        <x:v>0</x:v>
      </x:c>
    </x:row>
    <x:row r="11">
      <x:c r="A11" t="str">
        <x:v>retrieval</x:v>
      </x:c>
      <x:c r="B11" s="18" t="n">
        <x:f>COUNTIF('File Plan'!F$2:F$563,A11)</x:f>
        <x:v>40</x:v>
      </x:c>
      <x:c r="C11" s="80" t="n">
        <x:f>B11/$B$21</x:f>
        <x:v>0.0711743772241993</x:v>
      </x:c>
      <x:c r="D11" t="n">
        <x:f>COUNTIFS('File Plan'!F$2:F$563,A11,'File Plan'!Z$2:Z$563,"Protected runtime")</x:f>
        <x:v>6</x:v>
      </x:c>
      <x:c r="E11" t="n">
        <x:f>COUNTIFS('File Plan'!F$2:F$563,A11,'File Plan'!F$2:F$563,"legacy")</x:f>
        <x:v>0</x:v>
      </x:c>
    </x:row>
    <x:row r="12">
      <x:c r="A12" t="str">
        <x:v>router</x:v>
      </x:c>
      <x:c r="B12" s="18" t="n">
        <x:f>COUNTIF('File Plan'!F$2:F$563,A12)</x:f>
        <x:v>19</x:v>
      </x:c>
      <x:c r="C12" s="80" t="n">
        <x:f>B12/$B$21</x:f>
        <x:v>0.033807829181494664</x:v>
      </x:c>
      <x:c r="D12" t="n">
        <x:f>COUNTIFS('File Plan'!F$2:F$563,A12,'File Plan'!Z$2:Z$563,"Protected runtime")</x:f>
        <x:v>0</x:v>
      </x:c>
      <x:c r="E12" t="n">
        <x:f>COUNTIFS('File Plan'!F$2:F$563,A12,'File Plan'!F$2:F$563,"legacy")</x:f>
        <x:v>0</x:v>
      </x:c>
    </x:row>
    <x:row r="13">
      <x:c r="A13" t="str">
        <x:v>scripts/benchmark</x:v>
      </x:c>
      <x:c r="B13" s="18" t="n">
        <x:f>COUNTIF('File Plan'!F$2:F$563,A13)</x:f>
        <x:v>1</x:v>
      </x:c>
      <x:c r="C13" s="80" t="n">
        <x:f>B13/$B$21</x:f>
        <x:v>0.0017793594306049821</x:v>
      </x:c>
      <x:c r="D13" t="n">
        <x:f>COUNTIFS('File Plan'!F$2:F$563,A13,'File Plan'!Z$2:Z$563,"Protected runtime")</x:f>
        <x:v>0</x:v>
      </x:c>
      <x:c r="E13" t="n">
        <x:f>COUNTIFS('File Plan'!F$2:F$563,A13,'File Plan'!F$2:F$563,"legacy")</x:f>
        <x:v>0</x:v>
      </x:c>
    </x:row>
    <x:row r="14">
      <x:c r="A14" t="str">
        <x:v>serving</x:v>
      </x:c>
      <x:c r="B14" s="18" t="n">
        <x:f>COUNTIF('File Plan'!F$2:F$563,A14)</x:f>
        <x:v>43</x:v>
      </x:c>
      <x:c r="C14" s="80" t="n">
        <x:f>B14/$B$21</x:f>
        <x:v>0.07651245551601424</x:v>
      </x:c>
      <x:c r="D14" t="n">
        <x:f>COUNTIFS('File Plan'!F$2:F$563,A14,'File Plan'!Z$2:Z$563,"Protected runtime")</x:f>
        <x:v>31</x:v>
      </x:c>
      <x:c r="E14" t="n">
        <x:f>COUNTIFS('File Plan'!F$2:F$563,A14,'File Plan'!F$2:F$563,"legacy")</x:f>
        <x:v>0</x:v>
      </x:c>
    </x:row>
    <x:row r="15">
      <x:c r="A15" t="str">
        <x:v>tables</x:v>
      </x:c>
      <x:c r="B15" s="18" t="n">
        <x:f>COUNTIF('File Plan'!F$2:F$563,A15)</x:f>
        <x:v>81</x:v>
      </x:c>
      <x:c r="C15" s="80" t="n">
        <x:f>B15/$B$21</x:f>
        <x:v>0.14412811387900357</x:v>
      </x:c>
      <x:c r="D15" t="n">
        <x:f>COUNTIFS('File Plan'!F$2:F$563,A15,'File Plan'!Z$2:Z$563,"Protected runtime")</x:f>
        <x:v>0</x:v>
      </x:c>
      <x:c r="E15" t="n">
        <x:f>COUNTIFS('File Plan'!F$2:F$563,A15,'File Plan'!F$2:F$563,"legacy")</x:f>
        <x:v>0</x:v>
      </x:c>
    </x:row>
    <x:row r="16">
      <x:c r="A16" t="str">
        <x:v>tests/integration</x:v>
      </x:c>
      <x:c r="B16" s="18" t="n">
        <x:f>COUNTIF('File Plan'!F$2:F$563,A16)</x:f>
        <x:v>2</x:v>
      </x:c>
      <x:c r="C16" s="80" t="n">
        <x:f>B16/$B$21</x:f>
        <x:v>0.0035587188612099642</x:v>
      </x:c>
      <x:c r="D16" t="n">
        <x:f>COUNTIFS('File Plan'!F$2:F$563,A16,'File Plan'!Z$2:Z$563,"Protected runtime")</x:f>
        <x:v>2</x:v>
      </x:c>
      <x:c r="E16" t="n">
        <x:f>COUNTIFS('File Plan'!F$2:F$563,A16,'File Plan'!F$2:F$563,"legacy")</x:f>
        <x:v>0</x:v>
      </x:c>
    </x:row>
    <x:row r="17">
      <x:c r="A17" t="str">
        <x:v>tests/regression</x:v>
      </x:c>
      <x:c r="B17" s="18" t="n">
        <x:f>COUNTIF('File Plan'!F$2:F$563,A17)</x:f>
        <x:v>3</x:v>
      </x:c>
      <x:c r="C17" s="80" t="n">
        <x:f>B17/$B$21</x:f>
        <x:v>0.005338078291814947</x:v>
      </x:c>
      <x:c r="D17" t="n">
        <x:f>COUNTIFS('File Plan'!F$2:F$563,A17,'File Plan'!Z$2:Z$563,"Protected runtime")</x:f>
        <x:v>0</x:v>
      </x:c>
      <x:c r="E17" t="n">
        <x:f>COUNTIFS('File Plan'!F$2:F$563,A17,'File Plan'!F$2:F$563,"legacy")</x:f>
        <x:v>0</x:v>
      </x:c>
    </x:row>
    <x:row r="18">
      <x:c r="A18" t="str">
        <x:v>validation</x:v>
      </x:c>
      <x:c r="B18" s="18" t="n">
        <x:f>COUNTIF('File Plan'!F$2:F$563,A18)</x:f>
        <x:v>92</x:v>
      </x:c>
      <x:c r="C18" s="80" t="n">
        <x:f>B18/$B$21</x:f>
        <x:v>0.16370106761565836</x:v>
      </x:c>
      <x:c r="D18" t="n">
        <x:f>COUNTIFS('File Plan'!F$2:F$563,A18,'File Plan'!Z$2:Z$563,"Protected runtime")</x:f>
        <x:v>13</x:v>
      </x:c>
      <x:c r="E18" t="n">
        <x:f>COUNTIFS('File Plan'!F$2:F$563,A18,'File Plan'!F$2:F$563,"legacy")</x:f>
        <x:v>0</x:v>
      </x:c>
    </x:row>
    <x:row r="19">
      <x:c r="A19" t="str">
        <x:v>visual</x:v>
      </x:c>
      <x:c r="B19" s="18" t="n">
        <x:f>COUNTIF('File Plan'!F$2:F$563,A19)</x:f>
        <x:v>32</x:v>
      </x:c>
      <x:c r="C19" s="80" t="n">
        <x:f>B19/$B$21</x:f>
        <x:v>0.05693950177935943</x:v>
      </x:c>
      <x:c r="D19" t="n">
        <x:f>COUNTIFS('File Plan'!F$2:F$563,A19,'File Plan'!Z$2:Z$563,"Protected runtime")</x:f>
        <x:v>5</x:v>
      </x:c>
      <x:c r="E19" t="n">
        <x:f>COUNTIFS('File Plan'!F$2:F$563,A19,'File Plan'!F$2:F$563,"legacy")</x:f>
        <x:v>0</x:v>
      </x:c>
    </x:row>
    <x:row r="20">
      <x:c r="A20" t="str">
        <x:v>writing</x:v>
      </x:c>
      <x:c r="B20" s="18" t="n">
        <x:f>COUNTIF('File Plan'!F$2:F$563,A20)</x:f>
        <x:v>13</x:v>
      </x:c>
      <x:c r="C20" s="80" t="n">
        <x:f>B20/$B$21</x:f>
        <x:v>0.023131672597864767</x:v>
      </x:c>
      <x:c r="D20" t="n">
        <x:f>COUNTIFS('File Plan'!F$2:F$563,A20,'File Plan'!Z$2:Z$563,"Protected runtime")</x:f>
        <x:v>3</x:v>
      </x:c>
      <x:c r="E20" t="n">
        <x:f>COUNTIFS('File Plan'!F$2:F$563,A20,'File Plan'!F$2:F$563,"legacy")</x:f>
        <x:v>0</x:v>
      </x:c>
    </x:row>
    <x:row r="21">
      <x:c r="A21" s="11" t="str">
        <x:v>TOTAL</x:v>
      </x:c>
      <x:c r="B21" s="78" t="n">
        <x:f>SUM(B2:B20)</x:f>
        <x:v>562</x:v>
      </x:c>
      <x:c r="C21" s="81" t="n">
        <x:f>1</x:f>
        <x:v>1</x:v>
      </x:c>
      <x:c r="D21" s="11" t="n">
        <x:f>SUM(D2:D20)</x:f>
        <x:v>75</x:v>
      </x:c>
      <x:c r="E21" s="11" t="n">
        <x:f>SUM(E2:E20)</x:f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934246cdb9f44d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43" hidden="0" customWidth="1"/>
    <x:col min="3" max="3" width="43" hidden="0" customWidth="1"/>
    <x:col min="4" max="4" width="43" hidden="0" customWidth="1"/>
    <x:col min="5" max="5" width="38" hidden="0" customWidth="1"/>
    <x:col min="6" max="6" width="12" hidden="0" customWidth="1"/>
    <x:col min="7" max="7" width="64" hidden="0" customWidth="1"/>
    <x:col min="8" max="8" width="64" hidden="0" customWidth="1"/>
    <x:col min="9" max="9" width="68" hidden="0" customWidth="1"/>
  </x:cols>
  <x:sheetData>
    <x:row r="1">
      <x:c r="A1" s="86" t="str">
        <x:v>Current Path</x:v>
      </x:c>
      <x:c r="B1" s="86" t="str">
        <x:v>File Name</x:v>
      </x:c>
      <x:c r="C1" s="86" t="str">
        <x:v>Recommended Folder</x:v>
      </x:c>
      <x:c r="D1" s="86" t="str">
        <x:v>Final Path</x:v>
      </x:c>
      <x:c r="E1" s="86" t="str">
        <x:v>Action</x:v>
      </x:c>
      <x:c r="F1" s="86" t="str">
        <x:v>Confidence</x:v>
      </x:c>
      <x:c r="G1" s="86" t="str">
        <x:v>Reason</x:v>
      </x:c>
      <x:c r="H1" s="86" t="str">
        <x:v>Migration Safety Note</x:v>
      </x:c>
      <x:c r="I1" s="86" t="str">
        <x:v>GitHub Source</x:v>
      </x:c>
    </x:row>
    <x:row r="2">
      <x:c r="A2" s="59" t="str">
        <x:v>tiff/.keep</x:v>
      </x:c>
      <x:c r="B2" s="59" t="str">
        <x:v>.keep</x:v>
      </x:c>
      <x:c r="C2" s="59" t="str">
        <x:v>legacy/tiff_package_markers/</x:v>
      </x:c>
      <x:c r="D2" s="59" t="str">
        <x:v>legacy/tiff_package_markers/.keep</x:v>
      </x:c>
      <x:c r="E2" s="59" t="str">
        <x:v>ARCHIVE_AFTER_TIFF_PACKAGE_MIGRATION</x:v>
      </x:c>
      <x:c r="F2" s="61" t="n">
        <x:v>1</x:v>
      </x:c>
      <x:c r="G2" s="59" t="str">
        <x:v>Placeholder is unnecessary once the flat tiff directory is replaced by organized packages.</x:v>
      </x:c>
      <x:c r="H2" s="59" t="str">
        <x:v>Keep until the final tiff compatibility package is verified.</x:v>
      </x:c>
      <x:c r="I2" s="59" t="str">
        <x:v>https://github.com/jwild2027/heico-ai-internship-summer-2026/blob/srv/tiff/.keep</x:v>
      </x:c>
    </x:row>
    <x:row r="3">
      <x:c r="A3" s="59" t="str">
        <x:v>tiff/trace_net_engineering_engram_crag_repair_v1.py.bak_h29_cli_alias_repair_v1_20260701_150010</x:v>
      </x:c>
      <x:c r="B3" s="59" t="str">
        <x:v>trace_net_engineering_engram_crag_repair_v1.py.bak_h29_cli_alias_repair_v1_20260701_150010</x:v>
      </x:c>
      <x:c r="C3" s="59" t="str">
        <x:v>legacy/tiff_backups/</x:v>
      </x:c>
      <x:c r="D3" s="59" t="str">
        <x:v>legacy/tiff_backups/trace_net_engineering_engram_crag_repair_v1.py.bak_h29_cli_alias_repair_v1_20260701_150010</x:v>
      </x:c>
      <x:c r="E3" s="59" t="str">
        <x:v>LEGACY_ARCHIVE_WITH_GIT_MV</x:v>
      </x:c>
      <x:c r="F3" s="61" t="n">
        <x:v>1</x:v>
      </x:c>
      <x:c r="G3" s="59" t="str">
        <x:v>Timestamped or pre-change backup copy beside the active module.</x:v>
      </x:c>
      <x:c r="H3" s="59" t="str">
        <x:v>Archive only; do not delete. Confirm the non-backup active file exists first.</x:v>
      </x:c>
      <x:c r="I3" s="59" t="str">
        <x:v>https://github.com/jwild2027/heico-ai-internship-summer-2026/blob/srv/tiff/trace_net_engineering_engram_crag_repair_v1.py.bak_h29_cli_alias_repair_v1_20260701_150010</x:v>
      </x:c>
    </x:row>
    <x:row r="4">
      <x:c r="A4" s="59" t="str">
        <x:v>tiff/trace_net_engineering_engram_prompt_retrieval_llm_smoke_v1.py.bak_h22_prompt_boundary_phrase_fix_v1_20260701_132430</x:v>
      </x:c>
      <x:c r="B4" s="59" t="str">
        <x:v>trace_net_engineering_engram_prompt_retrieval_llm_smoke_v1.py.bak_h22_prompt_boundary_phrase_fix_v1_20260701_132430</x:v>
      </x:c>
      <x:c r="C4" s="59" t="str">
        <x:v>legacy/tiff_backups/</x:v>
      </x:c>
      <x:c r="D4" s="59" t="str">
        <x:v>legacy/tiff_backups/trace_net_engineering_engram_prompt_retrieval_llm_smoke_v1.py.bak_h22_prompt_boundary_phrase_fix_v1_20260701_132430</x:v>
      </x:c>
      <x:c r="E4" s="59" t="str">
        <x:v>LEGACY_ARCHIVE_WITH_GIT_MV</x:v>
      </x:c>
      <x:c r="F4" s="61" t="n">
        <x:v>1</x:v>
      </x:c>
      <x:c r="G4" s="59" t="str">
        <x:v>Timestamped or pre-change backup copy beside the active module.</x:v>
      </x:c>
      <x:c r="H4" s="59" t="str">
        <x:v>Archive only; do not delete. Confirm the non-backup active file exists first.</x:v>
      </x:c>
      <x:c r="I4" s="59" t="str">
        <x:v>https://github.com/jwild2027/heico-ai-internship-summer-2026/blob/srv/tiff/trace_net_engineering_engram_prompt_retrieval_llm_smoke_v1.py.bak_h22_prompt_boundary_phrase_fix_v1_20260701_132430</x:v>
      </x:c>
    </x:row>
    <x:row r="5">
      <x:c r="A5" s="59" t="str">
        <x:v>tiff/trace_net_engineering_engram_prompt_retrieval_llm_smoke_v1.py.bak_manual_h22_boundary_phrase_20260701_132511</x:v>
      </x:c>
      <x:c r="B5" s="59" t="str">
        <x:v>trace_net_engineering_engram_prompt_retrieval_llm_smoke_v1.py.bak_manual_h22_boundary_phrase_20260701_132511</x:v>
      </x:c>
      <x:c r="C5" s="59" t="str">
        <x:v>legacy/tiff_backups/</x:v>
      </x:c>
      <x:c r="D5" s="59" t="str">
        <x:v>legacy/tiff_backups/trace_net_engineering_engram_prompt_retrieval_llm_smoke_v1.py.bak_manual_h22_boundary_phrase_20260701_132511</x:v>
      </x:c>
      <x:c r="E5" s="59" t="str">
        <x:v>LEGACY_ARCHIVE_WITH_GIT_MV</x:v>
      </x:c>
      <x:c r="F5" s="61" t="n">
        <x:v>1</x:v>
      </x:c>
      <x:c r="G5" s="59" t="str">
        <x:v>Timestamped or pre-change backup copy beside the active module.</x:v>
      </x:c>
      <x:c r="H5" s="59" t="str">
        <x:v>Archive only; do not delete. Confirm the non-backup active file exists first.</x:v>
      </x:c>
      <x:c r="I5" s="59" t="str">
        <x:v>https://github.com/jwild2027/heico-ai-internship-summer-2026/blob/srv/tiff/trace_net_engineering_engram_prompt_retrieval_llm_smoke_v1.py.bak_manual_h22_boundary_phrase_20260701_132511</x:v>
      </x:c>
    </x:row>
    <x:row r="6">
      <x:c r="A6" s="59" t="str">
        <x:v>tiff/trace_net_engineering_llm_answer_smoke_v1.py.bak_before_restore_from_failed_h27_20260701_140929</x:v>
      </x:c>
      <x:c r="B6" s="59" t="str">
        <x:v>trace_net_engineering_llm_answer_smoke_v1.py.bak_before_restore_from_failed_h27_20260701_140929</x:v>
      </x:c>
      <x:c r="C6" s="59" t="str">
        <x:v>legacy/tiff_backups/</x:v>
      </x:c>
      <x:c r="D6" s="59" t="str">
        <x:v>legacy/tiff_backups/trace_net_engineering_llm_answer_smoke_v1.py.bak_before_restore_from_failed_h27_20260701_140929</x:v>
      </x:c>
      <x:c r="E6" s="59" t="str">
        <x:v>LEGACY_ARCHIVE_WITH_GIT_MV</x:v>
      </x:c>
      <x:c r="F6" s="61" t="n">
        <x:v>1</x:v>
      </x:c>
      <x:c r="G6" s="59" t="str">
        <x:v>Timestamped or pre-change backup copy beside the active module.</x:v>
      </x:c>
      <x:c r="H6" s="59" t="str">
        <x:v>Archive only; do not delete. Confirm the non-backup active file exists first.</x:v>
      </x:c>
      <x:c r="I6" s="59" t="str">
        <x:v>https://github.com/jwild2027/heico-ai-internship-summer-2026/blob/srv/tiff/trace_net_engineering_llm_answer_smoke_v1.py.bak_before_restore_from_failed_h27_20260701_140929</x:v>
      </x:c>
    </x:row>
    <x:row r="7">
      <x:c r="A7" s="59" t="str">
        <x:v>tiff/trace_net_engineering_llm_answer_smoke_v1.py.bak_h16c_incomplete_answer_retry_v1_20260701_095025</x:v>
      </x:c>
      <x:c r="B7" s="59" t="str">
        <x:v>trace_net_engineering_llm_answer_smoke_v1.py.bak_h16c_incomplete_answer_retry_v1_20260701_095025</x:v>
      </x:c>
      <x:c r="C7" s="59" t="str">
        <x:v>legacy/tiff_backups/</x:v>
      </x:c>
      <x:c r="D7" s="59" t="str">
        <x:v>legacy/tiff_backups/trace_net_engineering_llm_answer_smoke_v1.py.bak_h16c_incomplete_answer_retry_v1_20260701_095025</x:v>
      </x:c>
      <x:c r="E7" s="59" t="str">
        <x:v>LEGACY_ARCHIVE_WITH_GIT_MV</x:v>
      </x:c>
      <x:c r="F7" s="61" t="n">
        <x:v>1</x:v>
      </x:c>
      <x:c r="G7" s="59" t="str">
        <x:v>Timestamped or pre-change backup copy beside the active module.</x:v>
      </x:c>
      <x:c r="H7" s="59" t="str">
        <x:v>Archive only; do not delete. Confirm the non-backup active file exists first.</x:v>
      </x:c>
      <x:c r="I7" s="59" t="str">
        <x:v>https://github.com/jwild2027/heico-ai-internship-summer-2026/blob/srv/tiff/trace_net_engineering_llm_answer_smoke_v1.py.bak_h16c_incomplete_answer_retry_v1_20260701_095025</x:v>
      </x:c>
    </x:row>
    <x:row r="8">
      <x:c r="A8" s="59" t="str">
        <x:v>tiff/trace_net_engineering_llm_answer_smoke_v1.py.bak_h16c_repair_v1_20260701_095355</x:v>
      </x:c>
      <x:c r="B8" s="59" t="str">
        <x:v>trace_net_engineering_llm_answer_smoke_v1.py.bak_h16c_repair_v1_20260701_095355</x:v>
      </x:c>
      <x:c r="C8" s="59" t="str">
        <x:v>legacy/tiff_backups/</x:v>
      </x:c>
      <x:c r="D8" s="59" t="str">
        <x:v>legacy/tiff_backups/trace_net_engineering_llm_answer_smoke_v1.py.bak_h16c_repair_v1_20260701_095355</x:v>
      </x:c>
      <x:c r="E8" s="59" t="str">
        <x:v>LEGACY_ARCHIVE_WITH_GIT_MV</x:v>
      </x:c>
      <x:c r="F8" s="61" t="n">
        <x:v>1</x:v>
      </x:c>
      <x:c r="G8" s="59" t="str">
        <x:v>Timestamped or pre-change backup copy beside the active module.</x:v>
      </x:c>
      <x:c r="H8" s="59" t="str">
        <x:v>Archive only; do not delete. Confirm the non-backup active file exists first.</x:v>
      </x:c>
      <x:c r="I8" s="59" t="str">
        <x:v>https://github.com/jwild2027/heico-ai-internship-summer-2026/blob/srv/tiff/trace_net_engineering_llm_answer_smoke_v1.py.bak_h16c_repair_v1_20260701_095355</x:v>
      </x:c>
    </x:row>
    <x:row r="9">
      <x:c r="A9" s="59" t="str">
        <x:v>tiff/trace_net_engineering_llm_answer_smoke_v1.py.bak_h16d_conservative_repair_v1_before_20260701_113444</x:v>
      </x:c>
      <x:c r="B9" s="59" t="str">
        <x:v>trace_net_engineering_llm_answer_smoke_v1.py.bak_h16d_conservative_repair_v1_before_20260701_113444</x:v>
      </x:c>
      <x:c r="C9" s="59" t="str">
        <x:v>legacy/tiff_backups/</x:v>
      </x:c>
      <x:c r="D9" s="59" t="str">
        <x:v>legacy/tiff_backups/trace_net_engineering_llm_answer_smoke_v1.py.bak_h16d_conservative_repair_v1_before_20260701_113444</x:v>
      </x:c>
      <x:c r="E9" s="59" t="str">
        <x:v>LEGACY_ARCHIVE_WITH_GIT_MV</x:v>
      </x:c>
      <x:c r="F9" s="61" t="n">
        <x:v>1</x:v>
      </x:c>
      <x:c r="G9" s="59" t="str">
        <x:v>Timestamped or pre-change backup copy beside the active module.</x:v>
      </x:c>
      <x:c r="H9" s="59" t="str">
        <x:v>Archive only; do not delete. Confirm the non-backup active file exists first.</x:v>
      </x:c>
      <x:c r="I9" s="59" t="str">
        <x:v>https://github.com/jwild2027/heico-ai-internship-summer-2026/blob/srv/tiff/trace_net_engineering_llm_answer_smoke_v1.py.bak_h16d_conservative_repair_v1_before_20260701_113444</x:v>
      </x:c>
    </x:row>
    <x:row r="10">
      <x:c r="A10" s="59" t="str">
        <x:v>tiff/trace_net_engineering_llm_answer_smoke_v1.py.bak_h27_engram_overlay_map_20260701_140003</x:v>
      </x:c>
      <x:c r="B10" s="59" t="str">
        <x:v>trace_net_engineering_llm_answer_smoke_v1.py.bak_h27_engram_overlay_map_20260701_140003</x:v>
      </x:c>
      <x:c r="C10" s="59" t="str">
        <x:v>legacy/tiff_backups/</x:v>
      </x:c>
      <x:c r="D10" s="59" t="str">
        <x:v>legacy/tiff_backups/trace_net_engineering_llm_answer_smoke_v1.py.bak_h27_engram_overlay_map_20260701_140003</x:v>
      </x:c>
      <x:c r="E10" s="59" t="str">
        <x:v>LEGACY_ARCHIVE_WITH_GIT_MV</x:v>
      </x:c>
      <x:c r="F10" s="61" t="n">
        <x:v>1</x:v>
      </x:c>
      <x:c r="G10" s="59" t="str">
        <x:v>Timestamped or pre-change backup copy beside the active module.</x:v>
      </x:c>
      <x:c r="H10" s="59" t="str">
        <x:v>Archive only; do not delete. Confirm the non-backup active file exists first.</x:v>
      </x:c>
      <x:c r="I10" s="59" t="str">
        <x:v>https://github.com/jwild2027/heico-ai-internship-summer-2026/blob/srv/tiff/trace_net_engineering_llm_answer_smoke_v1.py.bak_h27_engram_overlay_map_20260701_140003</x:v>
      </x:c>
    </x:row>
    <x:row r="11">
      <x:c r="A11" s="59" t="str">
        <x:v>tiff/trace_net_engineering_llm_answer_smoke_v1.py.bak_h27_engram_overlay_map_v1b_20260701_140201</x:v>
      </x:c>
      <x:c r="B11" s="59" t="str">
        <x:v>trace_net_engineering_llm_answer_smoke_v1.py.bak_h27_engram_overlay_map_v1b_20260701_140201</x:v>
      </x:c>
      <x:c r="C11" s="59" t="str">
        <x:v>legacy/tiff_backups/</x:v>
      </x:c>
      <x:c r="D11" s="59" t="str">
        <x:v>legacy/tiff_backups/trace_net_engineering_llm_answer_smoke_v1.py.bak_h27_engram_overlay_map_v1b_20260701_140201</x:v>
      </x:c>
      <x:c r="E11" s="59" t="str">
        <x:v>LEGACY_ARCHIVE_WITH_GIT_MV</x:v>
      </x:c>
      <x:c r="F11" s="61" t="n">
        <x:v>1</x:v>
      </x:c>
      <x:c r="G11" s="59" t="str">
        <x:v>Timestamped or pre-change backup copy beside the active module.</x:v>
      </x:c>
      <x:c r="H11" s="59" t="str">
        <x:v>Archive only; do not delete. Confirm the non-backup active file exists first.</x:v>
      </x:c>
      <x:c r="I11" s="59" t="str">
        <x:v>https://github.com/jwild2027/heico-ai-internship-summer-2026/blob/srv/tiff/trace_net_engineering_llm_answer_smoke_v1.py.bak_h27_engram_overlay_map_v1b_20260701_140201</x:v>
      </x:c>
    </x:row>
    <x:row r="12">
      <x:c r="A12" s="59" t="str">
        <x:v>tiff/trace_net_engineering_llm_answer_smoke_v1.py.bak_h27_engram_overlay_map_v1b_20260701_140353</x:v>
      </x:c>
      <x:c r="B12" s="59" t="str">
        <x:v>trace_net_engineering_llm_answer_smoke_v1.py.bak_h27_engram_overlay_map_v1b_20260701_140353</x:v>
      </x:c>
      <x:c r="C12" s="59" t="str">
        <x:v>legacy/tiff_backups/</x:v>
      </x:c>
      <x:c r="D12" s="59" t="str">
        <x:v>legacy/tiff_backups/trace_net_engineering_llm_answer_smoke_v1.py.bak_h27_engram_overlay_map_v1b_20260701_140353</x:v>
      </x:c>
      <x:c r="E12" s="59" t="str">
        <x:v>LEGACY_ARCHIVE_WITH_GIT_MV</x:v>
      </x:c>
      <x:c r="F12" s="61" t="n">
        <x:v>1</x:v>
      </x:c>
      <x:c r="G12" s="59" t="str">
        <x:v>Timestamped or pre-change backup copy beside the active module.</x:v>
      </x:c>
      <x:c r="H12" s="59" t="str">
        <x:v>Archive only; do not delete. Confirm the non-backup active file exists first.</x:v>
      </x:c>
      <x:c r="I12" s="59" t="str">
        <x:v>https://github.com/jwild2027/heico-ai-internship-summer-2026/blob/srv/tiff/trace_net_engineering_llm_answer_smoke_v1.py.bak_h27_engram_overlay_map_v1b_20260701_140353</x:v>
      </x:c>
    </x:row>
    <x:row r="13">
      <x:c r="A13" s="59" t="str">
        <x:v>tiff/trace_net_engineering_llm_answer_smoke_v1.py.bak_h27d_engram_overlay_map_20260701_141212</x:v>
      </x:c>
      <x:c r="B13" s="59" t="str">
        <x:v>trace_net_engineering_llm_answer_smoke_v1.py.bak_h27d_engram_overlay_map_20260701_141212</x:v>
      </x:c>
      <x:c r="C13" s="59" t="str">
        <x:v>legacy/tiff_backups/</x:v>
      </x:c>
      <x:c r="D13" s="59" t="str">
        <x:v>legacy/tiff_backups/trace_net_engineering_llm_answer_smoke_v1.py.bak_h27d_engram_overlay_map_20260701_141212</x:v>
      </x:c>
      <x:c r="E13" s="59" t="str">
        <x:v>LEGACY_ARCHIVE_WITH_GIT_MV</x:v>
      </x:c>
      <x:c r="F13" s="61" t="n">
        <x:v>1</x:v>
      </x:c>
      <x:c r="G13" s="59" t="str">
        <x:v>Timestamped or pre-change backup copy beside the active module.</x:v>
      </x:c>
      <x:c r="H13" s="59" t="str">
        <x:v>Archive only; do not delete. Confirm the non-backup active file exists first.</x:v>
      </x:c>
      <x:c r="I13" s="59" t="str">
        <x:v>https://github.com/jwild2027/heico-ai-internship-summer-2026/blob/srv/tiff/trace_net_engineering_llm_answer_smoke_v1.py.bak_h27d_engram_overlay_map_20260701_141212</x:v>
      </x:c>
    </x:row>
    <x:row r="14">
      <x:c r="A14" s="59" t="str">
        <x:v>tiff/trace_net_engineering_llm_answer_smoke_v1.py.bak_h27e_retry_overlay_citation_patch_v1_20260701_143422</x:v>
      </x:c>
      <x:c r="B14" s="59" t="str">
        <x:v>trace_net_engineering_llm_answer_smoke_v1.py.bak_h27e_retry_overlay_citation_patch_v1_20260701_143422</x:v>
      </x:c>
      <x:c r="C14" s="59" t="str">
        <x:v>legacy/tiff_backups/</x:v>
      </x:c>
      <x:c r="D14" s="59" t="str">
        <x:v>legacy/tiff_backups/trace_net_engineering_llm_answer_smoke_v1.py.bak_h27e_retry_overlay_citation_patch_v1_20260701_143422</x:v>
      </x:c>
      <x:c r="E14" s="59" t="str">
        <x:v>LEGACY_ARCHIVE_WITH_GIT_MV</x:v>
      </x:c>
      <x:c r="F14" s="61" t="n">
        <x:v>1</x:v>
      </x:c>
      <x:c r="G14" s="59" t="str">
        <x:v>Timestamped or pre-change backup copy beside the active module.</x:v>
      </x:c>
      <x:c r="H14" s="59" t="str">
        <x:v>Archive only; do not delete. Confirm the non-backup active file exists first.</x:v>
      </x:c>
      <x:c r="I14" s="59" t="str">
        <x:v>https://github.com/jwild2027/heico-ai-internship-summer-2026/blob/srv/tiff/trace_net_engineering_llm_answer_smoke_v1.py.bak_h27e_retry_overlay_citation_patch_v1_20260701_143422</x:v>
      </x:c>
    </x:row>
    <x:row r="15">
      <x:c r="A15" s="59" t="str">
        <x:v>tiff/trace_net_engineering_llm_answer_smoke_v1.py.bak_manual_h27c_extra_paren_repair_20260701_140728</x:v>
      </x:c>
      <x:c r="B15" s="59" t="str">
        <x:v>trace_net_engineering_llm_answer_smoke_v1.py.bak_manual_h27c_extra_paren_repair_20260701_140728</x:v>
      </x:c>
      <x:c r="C15" s="59" t="str">
        <x:v>legacy/tiff_backups/</x:v>
      </x:c>
      <x:c r="D15" s="59" t="str">
        <x:v>legacy/tiff_backups/trace_net_engineering_llm_answer_smoke_v1.py.bak_manual_h27c_extra_paren_repair_20260701_140728</x:v>
      </x:c>
      <x:c r="E15" s="59" t="str">
        <x:v>LEGACY_ARCHIVE_WITH_GIT_MV</x:v>
      </x:c>
      <x:c r="F15" s="61" t="n">
        <x:v>1</x:v>
      </x:c>
      <x:c r="G15" s="59" t="str">
        <x:v>Timestamped or pre-change backup copy beside the active module.</x:v>
      </x:c>
      <x:c r="H15" s="59" t="str">
        <x:v>Archive only; do not delete. Confirm the non-backup active file exists first.</x:v>
      </x:c>
      <x:c r="I15" s="59" t="str">
        <x:v>https://github.com/jwild2027/heico-ai-internship-summer-2026/blob/srv/tiff/trace_net_engineering_llm_answer_smoke_v1.py.bak_manual_h27c_extra_paren_repair_20260701_140728</x:v>
      </x:c>
    </x:row>
    <x:row r="16">
      <x:c r="A16" s="59" t="str">
        <x:v>tiff/trace_net_engineering_llm_answer_smoke_v1.py.bak_manual_h27c_syntax_repair_20260701_140620</x:v>
      </x:c>
      <x:c r="B16" s="59" t="str">
        <x:v>trace_net_engineering_llm_answer_smoke_v1.py.bak_manual_h27c_syntax_repair_20260701_140620</x:v>
      </x:c>
      <x:c r="C16" s="59" t="str">
        <x:v>legacy/tiff_backups/</x:v>
      </x:c>
      <x:c r="D16" s="59" t="str">
        <x:v>legacy/tiff_backups/trace_net_engineering_llm_answer_smoke_v1.py.bak_manual_h27c_syntax_repair_20260701_140620</x:v>
      </x:c>
      <x:c r="E16" s="59" t="str">
        <x:v>LEGACY_ARCHIVE_WITH_GIT_MV</x:v>
      </x:c>
      <x:c r="F16" s="61" t="n">
        <x:v>1</x:v>
      </x:c>
      <x:c r="G16" s="59" t="str">
        <x:v>Timestamped or pre-change backup copy beside the active module.</x:v>
      </x:c>
      <x:c r="H16" s="59" t="str">
        <x:v>Archive only; do not delete. Confirm the non-backup active file exists first.</x:v>
      </x:c>
      <x:c r="I16" s="59" t="str">
        <x:v>https://github.com/jwild2027/heico-ai-internship-summer-2026/blob/srv/tiff/trace_net_engineering_llm_answer_smoke_v1.py.bak_manual_h27c_syntax_repair_20260701_140620</x:v>
      </x:c>
    </x:row>
    <x:row r="17">
      <x:c r="A17" s="59" t="str">
        <x:v>tiff/trace_net_engineering_llm_answer_smoke_v1.py.bak_manual_h27d_final_param_apply_repair_20260701_141520</x:v>
      </x:c>
      <x:c r="B17" s="59" t="str">
        <x:v>trace_net_engineering_llm_answer_smoke_v1.py.bak_manual_h27d_final_param_apply_repair_20260701_141520</x:v>
      </x:c>
      <x:c r="C17" s="59" t="str">
        <x:v>legacy/tiff_backups/</x:v>
      </x:c>
      <x:c r="D17" s="59" t="str">
        <x:v>legacy/tiff_backups/trace_net_engineering_llm_answer_smoke_v1.py.bak_manual_h27d_final_param_apply_repair_20260701_141520</x:v>
      </x:c>
      <x:c r="E17" s="59" t="str">
        <x:v>LEGACY_ARCHIVE_WITH_GIT_MV</x:v>
      </x:c>
      <x:c r="F17" s="61" t="n">
        <x:v>1</x:v>
      </x:c>
      <x:c r="G17" s="59" t="str">
        <x:v>Timestamped or pre-change backup copy beside the active module.</x:v>
      </x:c>
      <x:c r="H17" s="59" t="str">
        <x:v>Archive only; do not delete. Confirm the non-backup active file exists first.</x:v>
      </x:c>
      <x:c r="I17" s="59" t="str">
        <x:v>https://github.com/jwild2027/heico-ai-internship-summer-2026/blob/srv/tiff/trace_net_engineering_llm_answer_smoke_v1.py.bak_manual_h27d_final_param_apply_repair_20260701_141520</x:v>
      </x:c>
    </x:row>
    <x:row r="18">
      <x:c r="A18" s="59" t="str">
        <x:v>tiff/trace_net_engineering_llm_answer_smoke_v1.py.bak_remove_bad_h16c_manifest_guard_20260701_095758</x:v>
      </x:c>
      <x:c r="B18" s="59" t="str">
        <x:v>trace_net_engineering_llm_answer_smoke_v1.py.bak_remove_bad_h16c_manifest_guard_20260701_095758</x:v>
      </x:c>
      <x:c r="C18" s="59" t="str">
        <x:v>legacy/tiff_backups/</x:v>
      </x:c>
      <x:c r="D18" s="59" t="str">
        <x:v>legacy/tiff_backups/trace_net_engineering_llm_answer_smoke_v1.py.bak_remove_bad_h16c_manifest_guard_20260701_095758</x:v>
      </x:c>
      <x:c r="E18" s="59" t="str">
        <x:v>LEGACY_ARCHIVE_WITH_GIT_MV</x:v>
      </x:c>
      <x:c r="F18" s="61" t="n">
        <x:v>1</x:v>
      </x:c>
      <x:c r="G18" s="59" t="str">
        <x:v>Timestamped or pre-change backup copy beside the active module.</x:v>
      </x:c>
      <x:c r="H18" s="59" t="str">
        <x:v>Archive only; do not delete. Confirm the non-backup active file exists first.</x:v>
      </x:c>
      <x:c r="I18" s="59" t="str">
        <x:v>https://github.com/jwild2027/heico-ai-internship-summer-2026/blob/srv/tiff/trace_net_engineering_llm_answer_smoke_v1.py.bak_remove_bad_h16c_manifest_guard_20260701_095758</x:v>
      </x:c>
    </x:row>
    <x:row r="19">
      <x:c r="A19" s="59" t="str">
        <x:v>tiff/trace_net_engineering_runner_eval_set_v1.py.pre_short_eval_run_dirs.bak</x:v>
      </x:c>
      <x:c r="B19" s="59" t="str">
        <x:v>trace_net_engineering_runner_eval_set_v1.py.pre_short_eval_run_dirs.bak</x:v>
      </x:c>
      <x:c r="C19" s="59" t="str">
        <x:v>legacy/tiff_backups/</x:v>
      </x:c>
      <x:c r="D19" s="59" t="str">
        <x:v>legacy/tiff_backups/trace_net_engineering_runner_eval_set_v1.py.pre_short_eval_run_dirs.bak</x:v>
      </x:c>
      <x:c r="E19" s="59" t="str">
        <x:v>LEGACY_ARCHIVE_WITH_GIT_MV</x:v>
      </x:c>
      <x:c r="F19" s="61" t="n">
        <x:v>1</x:v>
      </x:c>
      <x:c r="G19" s="59" t="str">
        <x:v>Timestamped or pre-change backup copy beside the active module.</x:v>
      </x:c>
      <x:c r="H19" s="59" t="str">
        <x:v>Archive only; do not delete. Confirm the non-backup active file exists first.</x:v>
      </x:c>
      <x:c r="I19" s="59" t="str">
        <x:v>https://github.com/jwild2027/heico-ai-internship-summer-2026/blob/srv/tiff/trace_net_engineering_runner_eval_set_v1.py.pre_short_eval_run_dirs.bak</x:v>
      </x:c>
    </x:row>
    <x:row r="20">
      <x:c r="A20" s="59" t="str">
        <x:v>tiff/trace_net_fast_chat_runner_v1.py.pre_image_adapter_import_path_fix_v1.bak</x:v>
      </x:c>
      <x:c r="B20" s="59" t="str">
        <x:v>trace_net_fast_chat_runner_v1.py.pre_image_adapter_import_path_fix_v1.bak</x:v>
      </x:c>
      <x:c r="C20" s="59" t="str">
        <x:v>legacy/tiff_backups/</x:v>
      </x:c>
      <x:c r="D20" s="59" t="str">
        <x:v>legacy/tiff_backups/trace_net_fast_chat_runner_v1.py.pre_image_adapter_import_path_fix_v1.bak</x:v>
      </x:c>
      <x:c r="E20" s="59" t="str">
        <x:v>LEGACY_ARCHIVE_WITH_GIT_MV</x:v>
      </x:c>
      <x:c r="F20" s="61" t="n">
        <x:v>1</x:v>
      </x:c>
      <x:c r="G20" s="59" t="str">
        <x:v>Timestamped or pre-change backup copy beside the active module.</x:v>
      </x:c>
      <x:c r="H20" s="59" t="str">
        <x:v>Archive only; do not delete. Confirm the non-backup active file exists first.</x:v>
      </x:c>
      <x:c r="I20" s="59" t="str">
        <x:v>https://github.com/jwild2027/heico-ai-internship-summer-2026/blob/srv/tiff/trace_net_fast_chat_runner_v1.py.pre_image_adapter_import_path_fix_v1.bak</x:v>
      </x:c>
    </x:row>
    <x:row r="21">
      <x:c r="A21" s="59" t="str">
        <x:v>tiff/trace_net_fast_chat_runner_v1.py.pre_image_route_citation_validation_fix_v1.bak</x:v>
      </x:c>
      <x:c r="B21" s="59" t="str">
        <x:v>trace_net_fast_chat_runner_v1.py.pre_image_route_citation_validation_fix_v1.bak</x:v>
      </x:c>
      <x:c r="C21" s="59" t="str">
        <x:v>legacy/tiff_backups/</x:v>
      </x:c>
      <x:c r="D21" s="59" t="str">
        <x:v>legacy/tiff_backups/trace_net_fast_chat_runner_v1.py.pre_image_route_citation_validation_fix_v1.bak</x:v>
      </x:c>
      <x:c r="E21" s="59" t="str">
        <x:v>LEGACY_ARCHIVE_WITH_GIT_MV</x:v>
      </x:c>
      <x:c r="F21" s="61" t="n">
        <x:v>1</x:v>
      </x:c>
      <x:c r="G21" s="59" t="str">
        <x:v>Timestamped or pre-change backup copy beside the active module.</x:v>
      </x:c>
      <x:c r="H21" s="59" t="str">
        <x:v>Archive only; do not delete. Confirm the non-backup active file exists first.</x:v>
      </x:c>
      <x:c r="I21" s="59" t="str">
        <x:v>https://github.com/jwild2027/heico-ai-internship-summer-2026/blob/srv/tiff/trace_net_fast_chat_runner_v1.py.pre_image_route_citation_validation_fix_v1.bak</x:v>
      </x:c>
    </x:row>
    <x:row r="22">
      <x:c r="A22" s="59" t="str">
        <x:v>tiff/trace_net_fast_chat_runner_v1.py.pre_image_route_integration_v1.bak</x:v>
      </x:c>
      <x:c r="B22" s="59" t="str">
        <x:v>trace_net_fast_chat_runner_v1.py.pre_image_route_integration_v1.bak</x:v>
      </x:c>
      <x:c r="C22" s="59" t="str">
        <x:v>legacy/tiff_backups/</x:v>
      </x:c>
      <x:c r="D22" s="59" t="str">
        <x:v>legacy/tiff_backups/trace_net_fast_chat_runner_v1.py.pre_image_route_integration_v1.bak</x:v>
      </x:c>
      <x:c r="E22" s="59" t="str">
        <x:v>LEGACY_ARCHIVE_WITH_GIT_MV</x:v>
      </x:c>
      <x:c r="F22" s="61" t="n">
        <x:v>1</x:v>
      </x:c>
      <x:c r="G22" s="59" t="str">
        <x:v>Timestamped or pre-change backup copy beside the active module.</x:v>
      </x:c>
      <x:c r="H22" s="59" t="str">
        <x:v>Archive only; do not delete. Confirm the non-backup active file exists first.</x:v>
      </x:c>
      <x:c r="I22" s="59" t="str">
        <x:v>https://github.com/jwild2027/heico-ai-internship-summer-2026/blob/srv/tiff/trace_net_fast_chat_runner_v1.py.pre_image_route_integration_v1.bak</x:v>
      </x:c>
    </x:row>
    <x:row r="23">
      <x:c r="A23" s="59" t="str">
        <x:v>tiff/trace_net_fast_chat_runner_v1.py.pre_image_route_precedence_fix_v1.bak</x:v>
      </x:c>
      <x:c r="B23" s="59" t="str">
        <x:v>trace_net_fast_chat_runner_v1.py.pre_image_route_precedence_fix_v1.bak</x:v>
      </x:c>
      <x:c r="C23" s="59" t="str">
        <x:v>legacy/tiff_backups/</x:v>
      </x:c>
      <x:c r="D23" s="59" t="str">
        <x:v>legacy/tiff_backups/trace_net_fast_chat_runner_v1.py.pre_image_route_precedence_fix_v1.bak</x:v>
      </x:c>
      <x:c r="E23" s="59" t="str">
        <x:v>LEGACY_ARCHIVE_WITH_GIT_MV</x:v>
      </x:c>
      <x:c r="F23" s="61" t="n">
        <x:v>1</x:v>
      </x:c>
      <x:c r="G23" s="59" t="str">
        <x:v>Timestamped or pre-change backup copy beside the active module.</x:v>
      </x:c>
      <x:c r="H23" s="59" t="str">
        <x:v>Archive only; do not delete. Confirm the non-backup active file exists first.</x:v>
      </x:c>
      <x:c r="I23" s="59" t="str">
        <x:v>https://github.com/jwild2027/heico-ai-internship-summer-2026/blob/srv/tiff/trace_net_fast_chat_runner_v1.py.pre_image_route_precedence_fix_v1.bak</x:v>
      </x:c>
    </x:row>
    <x:row r="24">
      <x:c r="A24" s="59" t="str">
        <x:v>tiff/trace_net_fast_chat_runner_v1.py.pre_image_route_syntax_fix_v1.bak</x:v>
      </x:c>
      <x:c r="B24" s="59" t="str">
        <x:v>trace_net_fast_chat_runner_v1.py.pre_image_route_syntax_fix_v1.bak</x:v>
      </x:c>
      <x:c r="C24" s="59" t="str">
        <x:v>legacy/tiff_backups/</x:v>
      </x:c>
      <x:c r="D24" s="59" t="str">
        <x:v>legacy/tiff_backups/trace_net_fast_chat_runner_v1.py.pre_image_route_syntax_fix_v1.bak</x:v>
      </x:c>
      <x:c r="E24" s="59" t="str">
        <x:v>LEGACY_ARCHIVE_WITH_GIT_MV</x:v>
      </x:c>
      <x:c r="F24" s="61" t="n">
        <x:v>1</x:v>
      </x:c>
      <x:c r="G24" s="59" t="str">
        <x:v>Timestamped or pre-change backup copy beside the active module.</x:v>
      </x:c>
      <x:c r="H24" s="59" t="str">
        <x:v>Archive only; do not delete. Confirm the non-backup active file exists first.</x:v>
      </x:c>
      <x:c r="I24" s="59" t="str">
        <x:v>https://github.com/jwild2027/heico-ai-internship-summer-2026/blob/srv/tiff/trace_net_fast_chat_runner_v1.py.pre_image_route_syntax_fix_v1.bak</x:v>
      </x:c>
    </x:row>
    <x:row r="25">
      <x:c r="A25" s="59" t="str">
        <x:v>tiff/trace_net_h34_custom_question_progress_runner_v1.py.bak_h34b_no_progress_cli_repair_20260702_081331</x:v>
      </x:c>
      <x:c r="B25" s="59" t="str">
        <x:v>trace_net_h34_custom_question_progress_runner_v1.py.bak_h34b_no_progress_cli_repair_20260702_081331</x:v>
      </x:c>
      <x:c r="C25" s="59" t="str">
        <x:v>legacy/tiff_backups/</x:v>
      </x:c>
      <x:c r="D25" s="59" t="str">
        <x:v>legacy/tiff_backups/trace_net_h34_custom_question_progress_runner_v1.py.bak_h34b_no_progress_cli_repair_20260702_081331</x:v>
      </x:c>
      <x:c r="E25" s="59" t="str">
        <x:v>LEGACY_ARCHIVE_WITH_GIT_MV</x:v>
      </x:c>
      <x:c r="F25" s="61" t="n">
        <x:v>1</x:v>
      </x:c>
      <x:c r="G25" s="59" t="str">
        <x:v>Timestamped or pre-change backup copy beside the active module.</x:v>
      </x:c>
      <x:c r="H25" s="59" t="str">
        <x:v>Archive only; do not delete. Confirm the non-backup active file exists first.</x:v>
      </x:c>
      <x:c r="I25" s="59" t="str">
        <x:v>https://github.com/jwild2027/heico-ai-internship-summer-2026/blob/srv/tiff/trace_net_h34_custom_question_progress_runner_v1.py.bak_h34b_no_progress_cli_repair_20260702_081331</x:v>
      </x:c>
    </x:row>
    <x:row r="26">
      <x:c r="A26" s="59" t="str">
        <x:v>tiff/trace_net_h36_complex_task_validator_v1.py.bak_h36b_validator_negation_regrade_patch_v1_20260702_090232</x:v>
      </x:c>
      <x:c r="B26" s="59" t="str">
        <x:v>trace_net_h36_complex_task_validator_v1.py.bak_h36b_validator_negation_regrade_patch_v1_20260702_090232</x:v>
      </x:c>
      <x:c r="C26" s="59" t="str">
        <x:v>legacy/tiff_backups/</x:v>
      </x:c>
      <x:c r="D26" s="59" t="str">
        <x:v>legacy/tiff_backups/trace_net_h36_complex_task_validator_v1.py.bak_h36b_validator_negation_regrade_patch_v1_20260702_090232</x:v>
      </x:c>
      <x:c r="E26" s="59" t="str">
        <x:v>LEGACY_ARCHIVE_WITH_GIT_MV</x:v>
      </x:c>
      <x:c r="F26" s="61" t="n">
        <x:v>1</x:v>
      </x:c>
      <x:c r="G26" s="59" t="str">
        <x:v>Timestamped or pre-change backup copy beside the active module.</x:v>
      </x:c>
      <x:c r="H26" s="59" t="str">
        <x:v>Archive only; do not delete. Confirm the non-backup active file exists first.</x:v>
      </x:c>
      <x:c r="I26" s="59" t="str">
        <x:v>https://github.com/jwild2027/heico-ai-internship-summer-2026/blob/srv/tiff/trace_net_h36_complex_task_validator_v1.py.bak_h36b_validator_negation_regrade_patch_v1_20260702_090232</x:v>
      </x:c>
    </x:row>
    <x:row r="27">
      <x:c r="A27" s="59" t="str">
        <x:v>tiff/trace_net_h37_diversity_evidence_planner_v1.py.bak_h37b_diversity_planner_cleanup_20260702_091240</x:v>
      </x:c>
      <x:c r="B27" s="59" t="str">
        <x:v>trace_net_h37_diversity_evidence_planner_v1.py.bak_h37b_diversity_planner_cleanup_20260702_091240</x:v>
      </x:c>
      <x:c r="C27" s="59" t="str">
        <x:v>legacy/tiff_backups/</x:v>
      </x:c>
      <x:c r="D27" s="59" t="str">
        <x:v>legacy/tiff_backups/trace_net_h37_diversity_evidence_planner_v1.py.bak_h37b_diversity_planner_cleanup_20260702_091240</x:v>
      </x:c>
      <x:c r="E27" s="59" t="str">
        <x:v>LEGACY_ARCHIVE_WITH_GIT_MV</x:v>
      </x:c>
      <x:c r="F27" s="61" t="n">
        <x:v>1</x:v>
      </x:c>
      <x:c r="G27" s="59" t="str">
        <x:v>Timestamped or pre-change backup copy beside the active module.</x:v>
      </x:c>
      <x:c r="H27" s="59" t="str">
        <x:v>Archive only; do not delete. Confirm the non-backup active file exists first.</x:v>
      </x:c>
      <x:c r="I27" s="59" t="str">
        <x:v>https://github.com/jwild2027/heico-ai-internship-summer-2026/blob/srv/tiff/trace_net_h37_diversity_evidence_planner_v1.py.bak_h37b_diversity_planner_cleanup_20260702_091240</x:v>
      </x:c>
    </x:row>
    <x:row r="28">
      <x:c r="A28" s="59" t="str">
        <x:v>tiff/trace_net_h37_diversity_evidence_planner_v1.py.bak_h37c_diversity_planner_cleanup_20260702_091403</x:v>
      </x:c>
      <x:c r="B28" s="59" t="str">
        <x:v>trace_net_h37_diversity_evidence_planner_v1.py.bak_h37c_diversity_planner_cleanup_20260702_091403</x:v>
      </x:c>
      <x:c r="C28" s="59" t="str">
        <x:v>legacy/tiff_backups/</x:v>
      </x:c>
      <x:c r="D28" s="59" t="str">
        <x:v>legacy/tiff_backups/trace_net_h37_diversity_evidence_planner_v1.py.bak_h37c_diversity_planner_cleanup_20260702_091403</x:v>
      </x:c>
      <x:c r="E28" s="59" t="str">
        <x:v>LEGACY_ARCHIVE_WITH_GIT_MV</x:v>
      </x:c>
      <x:c r="F28" s="61" t="n">
        <x:v>1</x:v>
      </x:c>
      <x:c r="G28" s="59" t="str">
        <x:v>Timestamped or pre-change backup copy beside the active module.</x:v>
      </x:c>
      <x:c r="H28" s="59" t="str">
        <x:v>Archive only; do not delete. Confirm the non-backup active file exists first.</x:v>
      </x:c>
      <x:c r="I28" s="59" t="str">
        <x:v>https://github.com/jwild2027/heico-ai-internship-summer-2026/blob/srv/tiff/trace_net_h37_diversity_evidence_planner_v1.py.bak_h37c_diversity_planner_cleanup_20260702_091403</x:v>
      </x:c>
    </x:row>
    <x:row r="29">
      <x:c r="A29" s="59" t="str">
        <x:v>tiff/trace_net_h38_diversity_task_runner_v1.py.bak_h38b_negation_artifact_repair_20260702_092051</x:v>
      </x:c>
      <x:c r="B29" s="59" t="str">
        <x:v>trace_net_h38_diversity_task_runner_v1.py.bak_h38b_negation_artifact_repair_20260702_092051</x:v>
      </x:c>
      <x:c r="C29" s="59" t="str">
        <x:v>legacy/tiff_backups/</x:v>
      </x:c>
      <x:c r="D29" s="59" t="str">
        <x:v>legacy/tiff_backups/trace_net_h38_diversity_task_runner_v1.py.bak_h38b_negation_artifact_repair_20260702_092051</x:v>
      </x:c>
      <x:c r="E29" s="59" t="str">
        <x:v>LEGACY_ARCHIVE_WITH_GIT_MV</x:v>
      </x:c>
      <x:c r="F29" s="61" t="n">
        <x:v>1</x:v>
      </x:c>
      <x:c r="G29" s="59" t="str">
        <x:v>Timestamped or pre-change backup copy beside the active module.</x:v>
      </x:c>
      <x:c r="H29" s="59" t="str">
        <x:v>Archive only; do not delete. Confirm the non-backup active file exists first.</x:v>
      </x:c>
      <x:c r="I29" s="59" t="str">
        <x:v>https://github.com/jwild2027/heico-ai-internship-summer-2026/blob/srv/tiff/trace_net_h38_diversity_task_runner_v1.py.bak_h38b_negation_artifact_repair_20260702_092051</x:v>
      </x:c>
    </x:row>
    <x:row r="30">
      <x:c r="A30" s="59" t="str">
        <x:v>tiff/trace_net_image_route_fast_chat_adapter_v1.py.pre_output_dir_fix_v1.bak</x:v>
      </x:c>
      <x:c r="B30" s="59" t="str">
        <x:v>trace_net_image_route_fast_chat_adapter_v1.py.pre_output_dir_fix_v1.bak</x:v>
      </x:c>
      <x:c r="C30" s="59" t="str">
        <x:v>legacy/tiff_backups/</x:v>
      </x:c>
      <x:c r="D30" s="59" t="str">
        <x:v>legacy/tiff_backups/trace_net_image_route_fast_chat_adapter_v1.py.pre_output_dir_fix_v1.bak</x:v>
      </x:c>
      <x:c r="E30" s="59" t="str">
        <x:v>LEGACY_ARCHIVE_WITH_GIT_MV</x:v>
      </x:c>
      <x:c r="F30" s="61" t="n">
        <x:v>1</x:v>
      </x:c>
      <x:c r="G30" s="59" t="str">
        <x:v>Timestamped or pre-change backup copy beside the active module.</x:v>
      </x:c>
      <x:c r="H30" s="59" t="str">
        <x:v>Archive only; do not delete. Confirm the non-backup active file exists first.</x:v>
      </x:c>
      <x:c r="I30" s="59" t="str">
        <x:v>https://github.com/jwild2027/heico-ai-internship-summer-2026/blob/srv/tiff/trace_net_image_route_fast_chat_adapter_v1.py.pre_output_dir_fix_v1.bak</x:v>
      </x:c>
    </x:row>
    <x:row r="31">
      <x:c r="A31" s="59" t="str">
        <x:v>tiff/trace_net_image_route_fast_chat_adapter_v1.py.pre_question_path_parent_fix.bak</x:v>
      </x:c>
      <x:c r="B31" s="59" t="str">
        <x:v>trace_net_image_route_fast_chat_adapter_v1.py.pre_question_path_parent_fix.bak</x:v>
      </x:c>
      <x:c r="C31" s="59" t="str">
        <x:v>legacy/tiff_backups/</x:v>
      </x:c>
      <x:c r="D31" s="59" t="str">
        <x:v>legacy/tiff_backups/trace_net_image_route_fast_chat_adapter_v1.py.pre_question_path_parent_fix.bak</x:v>
      </x:c>
      <x:c r="E31" s="59" t="str">
        <x:v>LEGACY_ARCHIVE_WITH_GIT_MV</x:v>
      </x:c>
      <x:c r="F31" s="61" t="n">
        <x:v>1</x:v>
      </x:c>
      <x:c r="G31" s="59" t="str">
        <x:v>Timestamped or pre-change backup copy beside the active module.</x:v>
      </x:c>
      <x:c r="H31" s="59" t="str">
        <x:v>Archive only; do not delete. Confirm the non-backup active file exists first.</x:v>
      </x:c>
      <x:c r="I31" s="59" t="str">
        <x:v>https://github.com/jwild2027/heico-ai-internship-summer-2026/blob/srv/tiff/trace_net_image_route_fast_chat_adapter_v1.py.pre_question_path_parent_fix.bak</x:v>
      </x:c>
    </x:row>
    <x:row r="32">
      <x:c r="A32" s="59" t="str">
        <x:v>tiff/trace_net_image_route_fast_chat_adapter_v1.py.pre_write_dir_fix.bak</x:v>
      </x:c>
      <x:c r="B32" s="59" t="str">
        <x:v>trace_net_image_route_fast_chat_adapter_v1.py.pre_write_dir_fix.bak</x:v>
      </x:c>
      <x:c r="C32" s="59" t="str">
        <x:v>legacy/tiff_backups/</x:v>
      </x:c>
      <x:c r="D32" s="59" t="str">
        <x:v>legacy/tiff_backups/trace_net_image_route_fast_chat_adapter_v1.py.pre_write_dir_fix.bak</x:v>
      </x:c>
      <x:c r="E32" s="59" t="str">
        <x:v>LEGACY_ARCHIVE_WITH_GIT_MV</x:v>
      </x:c>
      <x:c r="F32" s="61" t="n">
        <x:v>1</x:v>
      </x:c>
      <x:c r="G32" s="59" t="str">
        <x:v>Timestamped or pre-change backup copy beside the active module.</x:v>
      </x:c>
      <x:c r="H32" s="59" t="str">
        <x:v>Archive only; do not delete. Confirm the non-backup active file exists first.</x:v>
      </x:c>
      <x:c r="I32" s="59" t="str">
        <x:v>https://github.com/jwild2027/heico-ai-internship-summer-2026/blob/srv/tiff/trace_net_image_route_fast_chat_adapter_v1.py.pre_write_dir_fix.bak</x:v>
      </x:c>
    </x:row>
  </x:sheetData>
  <x:pageMargins left="0.7" right="0.7" top="0.75" bottom="0.75" header="0.3" footer="0.3"/>
  <x:tableParts count="1">
    <x:tablePart xmlns:r="http://schemas.openxmlformats.org/officeDocument/2006/relationships" r:id="R513c9b0506ca413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28" hidden="0" customWidth="1"/>
    <x:col min="3" max="3" width="28" hidden="0" customWidth="1"/>
    <x:col min="4" max="4" width="60" hidden="0" customWidth="1"/>
    <x:col min="5" max="5" width="34" hidden="0" customWidth="1"/>
    <x:col min="6" max="6" width="34" hidden="0" customWidth="1"/>
    <x:col min="7" max="7" width="14" hidden="0" customWidth="1"/>
    <x:col min="8" max="8" width="70" hidden="0" customWidth="1"/>
    <x:col min="9" max="9" width="27" hidden="0" customWidth="1"/>
    <x:col min="10" max="10" width="27" hidden="0" customWidth="1"/>
    <x:col min="11" max="11" width="68" hidden="0" customWidth="1"/>
    <x:col min="12" max="12" width="68" hidden="0" customWidth="1"/>
  </x:cols>
  <x:sheetData>
    <x:row r="1">
      <x:c r="A1" s="92" t="str">
        <x:v>Current Path</x:v>
      </x:c>
      <x:c r="B1" s="92" t="str">
        <x:v>Recommended Area</x:v>
      </x:c>
      <x:c r="C1" s="92" t="str">
        <x:v>Recommended Folder</x:v>
      </x:c>
      <x:c r="D1" s="92" t="str">
        <x:v>Final Path</x:v>
      </x:c>
      <x:c r="E1" s="92" t="str">
        <x:v>Role</x:v>
      </x:c>
      <x:c r="F1" s="92" t="str">
        <x:v>Action</x:v>
      </x:c>
      <x:c r="G1" s="92" t="str">
        <x:v>Imported By Count</x:v>
      </x:c>
      <x:c r="H1" s="92" t="str">
        <x:v>Known Callers / References</x:v>
      </x:c>
      <x:c r="I1" s="92" t="str">
        <x:v>Ports</x:v>
      </x:c>
      <x:c r="J1" s="92" t="str">
        <x:v>Environment Variables</x:v>
      </x:c>
      <x:c r="K1" s="92" t="str">
        <x:v>Migration Safety Note</x:v>
      </x:c>
      <x:c r="L1" s="92" t="str">
        <x:v>GitHub Source</x:v>
      </x:c>
    </x:row>
    <x:row r="2">
      <x:c r="A2" s="59" t="str">
        <x:v>tiff/api_contract_tests.py</x:v>
      </x:c>
      <x:c r="B2" s="59" t="str">
        <x:v>tests/integration</x:v>
      </x:c>
      <x:c r="C2" s="59" t="str">
        <x:v>tests/integration/</x:v>
      </x:c>
      <x:c r="D2" s="59" t="str">
        <x:v>tests/integration/api_contract_tests.py</x:v>
      </x:c>
      <x:c r="E2" s="59" t="str">
        <x:v>integration test</x:v>
      </x:c>
      <x:c r="F2" s="59" t="str">
        <x:v>MOVE_TO_TESTS_UPDATE_IMPORTS</x:v>
      </x:c>
      <x:c r="G2" s="59" t="n">
        <x:v>2</x:v>
      </x:c>
      <x:c r="H2" s="59" t="str">
        <x:v>scripts/run_api_contract_tests.py; tests/unit/test_tiff_api_contract_tests.py</x:v>
      </x:c>
      <x:c r="I2" s="59" t="str">
        <x:v>8000</x:v>
      </x:c>
      <x:c r="J2" s="59" t="str"/>
      <x:c r="K2" s="59" t="str">
        <x:v>Run the moved test and update discovery/import paths.</x:v>
      </x:c>
      <x:c r="L2" s="59" t="str">
        <x:v>https://github.com/jwild2027/heico-ai-internship-summer-2026/blob/srv/tiff/api_contract_tests.py</x:v>
      </x:c>
    </x:row>
    <x:row r="3">
      <x:c r="A3" s="59" t="str">
        <x:v>tiff/inventory.py</x:v>
      </x:c>
      <x:c r="B3" s="59" t="str">
        <x:v>ingestion</x:v>
      </x:c>
      <x:c r="C3" s="59" t="str">
        <x:v>src/trace_net/ingestion/</x:v>
      </x:c>
      <x:c r="D3" s="59" t="str">
        <x:v>src/trace_net/ingestion/inventory.py</x:v>
      </x:c>
      <x:c r="E3" s="59" t="str">
        <x:v>active library module</x:v>
      </x:c>
      <x:c r="F3" s="59" t="str">
        <x:v>MOVE_WITH_PROTECTED_COMPATIBILITY_WRAPPER</x:v>
      </x:c>
      <x:c r="G3" s="59" t="n">
        <x:v>4</x:v>
      </x:c>
      <x:c r="H3" s="59" t="str">
        <x:v>scripts/inventory_tiffs.py; tests/unit/test_tiff_inventory.py; tiff/json_report.py; tiff/sqlite_store.py</x:v>
      </x:c>
      <x:c r="I3" s="59" t="str">
        <x:v>8601</x:v>
      </x:c>
      <x:c r="J3" s="59" t="str"/>
      <x:c r="K3" s="59" t="str">
        <x:v>Update imports and retain the old tiff module as a wrapper when callers exist.</x:v>
      </x:c>
      <x:c r="L3" s="59" t="str">
        <x:v>https://github.com/jwild2027/heico-ai-internship-summer-2026/blob/srv/tiff/inventory.py</x:v>
      </x:c>
    </x:row>
    <x:row r="4">
      <x:c r="A4" s="59" t="str">
        <x:v>tiff/local_config.py</x:v>
      </x:c>
      <x:c r="B4" s="59" t="str">
        <x:v>ingestion</x:v>
      </x:c>
      <x:c r="C4" s="59" t="str">
        <x:v>src/trace_net/ingestion/</x:v>
      </x:c>
      <x:c r="D4" s="59" t="str">
        <x:v>src/trace_net/ingestion/local_config.py</x:v>
      </x:c>
      <x:c r="E4" s="59" t="str">
        <x:v>active library module</x:v>
      </x:c>
      <x:c r="F4" s="59" t="str">
        <x:v>MOVE_WITH_PROTECTED_COMPATIBILITY_WRAPPER</x:v>
      </x:c>
      <x:c r="G4" s="59" t="n">
        <x:v>19</x:v>
      </x:c>
      <x:c r="H4" s="59" t="str">
        <x:v>scripts/ask_tiff_rag.py; scripts/audit_document_organization.py; scripts/audit_ocr_coverage.py; scripts/audit_source_links.py; scripts/build_rescarta_mapping.py; scripts/evaluate_rag_questions.py; scripts/export_document_organization.py; scripts/inspect_part_number.py; scripts/report_nomenclature_groups.py; scripts/report_non_part_reference_mentions.py; … +9 more</x:v>
      </x:c>
      <x:c r="I4" s="59" t="str">
        <x:v>11434</x:v>
      </x:c>
      <x:c r="J4" s="59" t="str"/>
      <x:c r="K4" s="59" t="str">
        <x:v>Update imports and retain the old tiff module as a wrapper when callers exist.</x:v>
      </x:c>
      <x:c r="L4" s="59" t="str">
        <x:v>https://github.com/jwild2027/heico-ai-internship-summer-2026/blob/srv/tiff/local_config.py</x:v>
      </x:c>
    </x:row>
    <x:row r="5">
      <x:c r="A5" s="59" t="str">
        <x:v>tiff/ollama_client.py</x:v>
      </x:c>
      <x:c r="B5" s="59" t="str">
        <x:v>ingestion</x:v>
      </x:c>
      <x:c r="C5" s="59" t="str">
        <x:v>src/trace_net/ingestion/</x:v>
      </x:c>
      <x:c r="D5" s="59" t="str">
        <x:v>src/trace_net/ingestion/ollama_client.py</x:v>
      </x:c>
      <x:c r="E5" s="59" t="str">
        <x:v>active library module</x:v>
      </x:c>
      <x:c r="F5" s="59" t="str">
        <x:v>MOVE_WITH_PROTECTED_COMPATIBILITY_WRAPPER</x:v>
      </x:c>
      <x:c r="G5" s="59" t="n">
        <x:v>7</x:v>
      </x:c>
      <x:c r="H5" s="59" t="str">
        <x:v>scripts/ask_tiff_rag.py; scripts/build_rag_embeddings.py; scripts/evaluate_rag_questions.py; scripts/serve_tiff_rag_ui.py; tiff/rag_answer.py; tiff/rag_retriever.py; tiff/rag_web_ui.py</x:v>
      </x:c>
      <x:c r="I5" s="59" t="str">
        <x:v>11434</x:v>
      </x:c>
      <x:c r="J5" s="59" t="str"/>
      <x:c r="K5" s="59" t="str">
        <x:v>Update imports and retain the old tiff module as a wrapper when callers exist.</x:v>
      </x:c>
      <x:c r="L5" s="59" t="str">
        <x:v>https://github.com/jwild2027/heico-ai-internship-summer-2026/blob/srv/tiff/ollama_client.py</x:v>
      </x:c>
    </x:row>
    <x:row r="6">
      <x:c r="A6" s="59" t="str">
        <x:v>tiff/page_context.py</x:v>
      </x:c>
      <x:c r="B6" s="59" t="str">
        <x:v>context</x:v>
      </x:c>
      <x:c r="C6" s="59" t="str">
        <x:v>src/trace_net/context/</x:v>
      </x:c>
      <x:c r="D6" s="59" t="str">
        <x:v>src/trace_net/context/page_context.py</x:v>
      </x:c>
      <x:c r="E6" s="59" t="str">
        <x:v>active library module</x:v>
      </x:c>
      <x:c r="F6" s="59" t="str">
        <x:v>MOVE_WITH_PROTECTED_COMPATIBILITY_WRAPPER</x:v>
      </x:c>
      <x:c r="G6" s="59" t="n">
        <x:v>3</x:v>
      </x:c>
      <x:c r="H6" s="59" t="str">
        <x:v>scripts/generate_page_contexts.py; tests/unit/test_tiff_page_context_graph.py; tests/unit/test_tiff_page_context_progress.py</x:v>
      </x:c>
      <x:c r="I6" s="59" t="str">
        <x:v>11434</x:v>
      </x:c>
      <x:c r="J6" s="59" t="str"/>
      <x:c r="K6" s="59" t="str">
        <x:v>Update imports and retain the old tiff module as a wrapper when callers exist.</x:v>
      </x:c>
      <x:c r="L6" s="59" t="str">
        <x:v>https://github.com/jwild2027/heico-ai-internship-summer-2026/blob/srv/tiff/page_context.py</x:v>
      </x:c>
    </x:row>
    <x:row r="7">
      <x:c r="A7" s="59" t="str">
        <x:v>tiff/page_context_v2.py</x:v>
      </x:c>
      <x:c r="B7" s="59" t="str">
        <x:v>context</x:v>
      </x:c>
      <x:c r="C7" s="59" t="str">
        <x:v>src/trace_net/context/</x:v>
      </x:c>
      <x:c r="D7" s="59" t="str">
        <x:v>src/trace_net/context/page_context_v2.py</x:v>
      </x:c>
      <x:c r="E7" s="59" t="str">
        <x:v>active library module</x:v>
      </x:c>
      <x:c r="F7" s="59" t="str">
        <x:v>MOVE_WITH_PROTECTED_COMPATIBILITY_WRAPPER</x:v>
      </x:c>
      <x:c r="G7" s="59" t="n">
        <x:v>2</x:v>
      </x:c>
      <x:c r="H7" s="59" t="str">
        <x:v>scripts/generate_page_contexts_v2.py; tests/unit/test_tiff_page_context_v2.py</x:v>
      </x:c>
      <x:c r="I7" s="59" t="str">
        <x:v>11434</x:v>
      </x:c>
      <x:c r="J7" s="59" t="str"/>
      <x:c r="K7" s="59" t="str">
        <x:v>Update imports and retain the old tiff module as a wrapper when callers exist.</x:v>
      </x:c>
      <x:c r="L7" s="59" t="str">
        <x:v>https://github.com/jwild2027/heico-ai-internship-summer-2026/blob/srv/tiff/page_context_v2.py</x:v>
      </x:c>
    </x:row>
    <x:row r="8">
      <x:c r="A8" s="59" t="str">
        <x:v>tiff/rag_answer.py</x:v>
      </x:c>
      <x:c r="B8" s="59" t="str">
        <x:v>ingestion</x:v>
      </x:c>
      <x:c r="C8" s="59" t="str">
        <x:v>src/trace_net/ingestion/</x:v>
      </x:c>
      <x:c r="D8" s="59" t="str">
        <x:v>src/trace_net/ingestion/rag_answer.py</x:v>
      </x:c>
      <x:c r="E8" s="59" t="str">
        <x:v>active library module</x:v>
      </x:c>
      <x:c r="F8" s="59" t="str">
        <x:v>MOVE_WITH_PROTECTED_COMPATIBILITY_WRAPPER</x:v>
      </x:c>
      <x:c r="G8" s="59" t="n">
        <x:v>12</x:v>
      </x:c>
      <x:c r="H8" s="59" t="str">
        <x:v>scripts/ask_tiff_rag.py; tests/unit/test_tiff_rag_answer.py; tests/unit/test_tiff_rag_eval.py; tests/unit/test_tiff_rag_hybrid_retrieval.py; tests/unit/test_tiff_rag_nomenclature_reverse_lookup.py; tests/unit/test_tiff_rag_reverse_lookup_balanced_sources.py; tests/unit/test_tiff_rag_source_grouping.py; tests/unit/test_tiff_rag_source_link_integration.py; tests/unit/test_tiff_rag_source_packing.py; tests/unit/test_tiff_rag_structured_part_summary.py; … +2 more</x:v>
      </x:c>
      <x:c r="I8" s="59" t="str">
        <x:v>8192</x:v>
      </x:c>
      <x:c r="J8" s="59" t="str"/>
      <x:c r="K8" s="59" t="str">
        <x:v>Update imports and retain the old tiff module as a wrapper when callers exist.</x:v>
      </x:c>
      <x:c r="L8" s="59" t="str">
        <x:v>https://github.com/jwild2027/heico-ai-internship-summer-2026/blob/srv/tiff/rag_answer.py</x:v>
      </x:c>
    </x:row>
    <x:row r="9">
      <x:c r="A9" s="59" t="str">
        <x:v>tiff/rag_web_ui.py</x:v>
      </x:c>
      <x:c r="B9" s="59" t="str">
        <x:v>serving</x:v>
      </x:c>
      <x:c r="C9" s="59" t="str">
        <x:v>src/trace_net/serving/</x:v>
      </x:c>
      <x:c r="D9" s="59" t="str">
        <x:v>src/trace_net/serving/rag_web_ui.py</x:v>
      </x:c>
      <x:c r="E9" s="59" t="str">
        <x:v>active library module</x:v>
      </x:c>
      <x:c r="F9" s="59" t="str">
        <x:v>MOVE_WITH_PROTECTED_COMPATIBILITY_WRAPPER</x:v>
      </x:c>
      <x:c r="G9" s="59" t="n">
        <x:v>1</x:v>
      </x:c>
      <x:c r="H9" s="59" t="str">
        <x:v>scripts/serve_tiff_rag_ui.py</x:v>
      </x:c>
      <x:c r="I9" s="59" t="str">
        <x:v>8090</x:v>
      </x:c>
      <x:c r="J9" s="59" t="str"/>
      <x:c r="K9" s="59" t="str">
        <x:v>Update imports and retain the old tiff module as a wrapper when callers exist.</x:v>
      </x:c>
      <x:c r="L9" s="59" t="str">
        <x:v>https://github.com/jwild2027/heico-ai-internship-summer-2026/blob/srv/tiff/rag_web_ui.py</x:v>
      </x:c>
    </x:row>
    <x:row r="10">
      <x:c r="A10" s="59" t="str">
        <x:v>tiff/rescarta_deeplink.py</x:v>
      </x:c>
      <x:c r="B10" s="59" t="str">
        <x:v>ingestion</x:v>
      </x:c>
      <x:c r="C10" s="59" t="str">
        <x:v>src/trace_net/ingestion/</x:v>
      </x:c>
      <x:c r="D10" s="59" t="str">
        <x:v>src/trace_net/ingestion/rescarta_deeplink.py</x:v>
      </x:c>
      <x:c r="E10" s="59" t="str">
        <x:v>active library module</x:v>
      </x:c>
      <x:c r="F10" s="59" t="str">
        <x:v>MOVE_WITH_PROTECTED_COMPATIBILITY_WRAPPER</x:v>
      </x:c>
      <x:c r="G10" s="59" t="n">
        <x:v>4</x:v>
      </x:c>
      <x:c r="H10" s="59" t="str">
        <x:v>scripts/preview_rescarta_links.py; scripts/validate_rescarta_link_template.py; tests/unit/test_tiff_rescarta_deeplink.py; tools/patch_archive/apply_rescarta_links.py</x:v>
      </x:c>
      <x:c r="I10" s="59" t="str">
        <x:v>8080</x:v>
      </x:c>
      <x:c r="J10" s="59" t="str"/>
      <x:c r="K10" s="59" t="str">
        <x:v>Update imports and retain the old tiff module as a wrapper when callers exist.</x:v>
      </x:c>
      <x:c r="L10" s="59" t="str">
        <x:v>https://github.com/jwild2027/heico-ai-internship-summer-2026/blob/srv/tiff/rescarta_deeplink.py</x:v>
      </x:c>
    </x:row>
    <x:row r="11">
      <x:c r="A11" s="59" t="str">
        <x:v>tiff/search_web_ui.py</x:v>
      </x:c>
      <x:c r="B11" s="59" t="str">
        <x:v>retrieval</x:v>
      </x:c>
      <x:c r="C11" s="59" t="str">
        <x:v>src/trace_net/retrieval/</x:v>
      </x:c>
      <x:c r="D11" s="59" t="str">
        <x:v>src/trace_net/retrieval/search_web_ui.py</x:v>
      </x:c>
      <x:c r="E11" s="59" t="str">
        <x:v>active library module</x:v>
      </x:c>
      <x:c r="F11" s="59" t="str">
        <x:v>MOVE_WITH_PROTECTED_COMPATIBILITY_WRAPPER</x:v>
      </x:c>
      <x:c r="G11" s="59" t="n">
        <x:v>4</x:v>
      </x:c>
      <x:c r="H11" s="59" t="str">
        <x:v>scripts/export_tiff_search_csv.py; scripts/serve_tiff_search_ui.py; tests/unit/test_tiff_part_catalog.py; tests/unit/test_tiff_search_web_ui.py</x:v>
      </x:c>
      <x:c r="I11" s="59" t="str">
        <x:v>8080</x:v>
      </x:c>
      <x:c r="J11" s="59" t="str"/>
      <x:c r="K11" s="59" t="str">
        <x:v>Update imports and retain the old tiff module as a wrapper when callers exist.</x:v>
      </x:c>
      <x:c r="L11" s="59" t="str">
        <x:v>https://github.com/jwild2027/heico-ai-internship-summer-2026/blob/srv/tiff/search_web_ui.py</x:v>
      </x:c>
    </x:row>
    <x:row r="12">
      <x:c r="A12" s="59" t="str">
        <x:v>tiff/streamlit_api_client.py</x:v>
      </x:c>
      <x:c r="B12" s="59" t="str">
        <x:v>serving</x:v>
      </x:c>
      <x:c r="C12" s="59" t="str">
        <x:v>src/trace_net/serving/</x:v>
      </x:c>
      <x:c r="D12" s="59" t="str">
        <x:v>src/trace_net/serving/streamlit_api_client.py</x:v>
      </x:c>
      <x:c r="E12" s="59" t="str">
        <x:v>serving/runtime module</x:v>
      </x:c>
      <x:c r="F12" s="59" t="str">
        <x:v>MOVE_WITH_PROTECTED_COMPATIBILITY_WRAPPER</x:v>
      </x:c>
      <x:c r="G12" s="59" t="n">
        <x:v>1</x:v>
      </x:c>
      <x:c r="H12" s="59" t="str">
        <x:v>apps/streamlit/tiff_api_ui.py; tools/patch_archive/apply_streamlit_trace_target_repo_fix.py</x:v>
      </x:c>
      <x:c r="I12" s="59" t="str">
        <x:v>8000</x:v>
      </x:c>
      <x:c r="J12" s="59" t="str"/>
      <x:c r="K12" s="59" t="str">
        <x:v>Old entrypoint must remain callable; verify relevant ports and OpenWebUI behavior.</x:v>
      </x:c>
      <x:c r="L12" s="59" t="str">
        <x:v>https://github.com/jwild2027/heico-ai-internship-summer-2026/blob/srv/tiff/streamlit_api_client.py</x:v>
      </x:c>
    </x:row>
    <x:row r="13">
      <x:c r="A13" s="59" t="str">
        <x:v>tiff/trace_net_ask_api_dynamic_retrieval_v2.py</x:v>
      </x:c>
      <x:c r="B13" s="59" t="str">
        <x:v>serving</x:v>
      </x:c>
      <x:c r="C13" s="59" t="str">
        <x:v>src/trace_net/serving/</x:v>
      </x:c>
      <x:c r="D13" s="59" t="str">
        <x:v>src/trace_net/serving/trace_net_ask_api_dynamic_retrieval_v2.py</x:v>
      </x:c>
      <x:c r="E13" s="59" t="str">
        <x:v>serving/runtime module</x:v>
      </x:c>
      <x:c r="F13" s="59" t="str">
        <x:v>MOVE_WITH_PROTECTED_COMPATIBILITY_WRAPPER</x:v>
      </x:c>
      <x:c r="G13" s="59" t="n">
        <x:v>4</x:v>
      </x:c>
      <x:c r="H13" s="59" t="str">
        <x:v>scripts/check_trace_net_ask_api_dynamic_retrieval_v2_quality.py; scripts/run_trace_net_ask_api_dynamic_retrieval_v2.py; tests/unit/test_trace_net_ask_api_dynamic_retrieval_v2.py; tests/unit/test_trace_net_ask_api_dynamic_retrieval_v2_quality.py</x:v>
      </x:c>
      <x:c r="I13" s="59" t="str">
        <x:v>8013</x:v>
      </x:c>
      <x:c r="J13" s="59" t="str">
        <x:v>TRACE_NET_ASK_API_KEY</x:v>
      </x:c>
      <x:c r="K13" s="59" t="str">
        <x:v>Old entrypoint must remain callable; verify relevant ports and OpenWebUI behavior.</x:v>
      </x:c>
      <x:c r="L13" s="59" t="str">
        <x:v>https://github.com/jwild2027/heico-ai-internship-summer-2026/blob/srv/tiff/trace_net_ask_api_dynamic_retrieval_v2.py</x:v>
      </x:c>
    </x:row>
    <x:row r="14">
      <x:c r="A14" s="59" t="str">
        <x:v>tiff/trace_net_ask_api_final_return_policy_hybrid_v3_v22.py</x:v>
      </x:c>
      <x:c r="B14" s="59" t="str">
        <x:v>serving</x:v>
      </x:c>
      <x:c r="C14" s="59" t="str">
        <x:v>src/trace_net/serving/</x:v>
      </x:c>
      <x:c r="D14" s="59" t="str">
        <x:v>src/trace_net/serving/trace_net_ask_api_final_return_policy_hybrid_v3_v22.py</x:v>
      </x:c>
      <x:c r="E14" s="59" t="str">
        <x:v>serving/runtime module</x:v>
      </x:c>
      <x:c r="F14" s="59" t="str">
        <x:v>MOVE_WITH_PROTECTED_COMPATIBILITY_WRAPPER</x:v>
      </x:c>
      <x:c r="G14" s="59" t="n">
        <x:v>5</x:v>
      </x:c>
      <x:c r="H14" s="59" t="str">
        <x:v>scripts/build_trace_net_ask_api_final_return_policy_hybrid_v3_v22.py; scripts/run_trace_net_ask_api_final_return_policy_hybrid_v3_v22.py; tests/unit/test_trace_net_ask_api_final_return_policy_hybrid_v3_v22.py; tests/unit/test_trace_net_ask_api_final_return_policy_hybrid_v3_v22_quality.py; tiff/trace_net_ask_api_final_return_policy_hybrid_v3_v22_quality.py</x:v>
      </x:c>
      <x:c r="I14" s="59" t="str">
        <x:v>8016</x:v>
      </x:c>
      <x:c r="J14" s="59" t="str"/>
      <x:c r="K14" s="59" t="str">
        <x:v>Old entrypoint must remain callable; verify relevant ports and OpenWebUI behavior.</x:v>
      </x:c>
      <x:c r="L14" s="59" t="str">
        <x:v>https://github.com/jwild2027/heico-ai-internship-summer-2026/blob/srv/tiff/trace_net_ask_api_final_return_policy_hybrid_v3_v22.py</x:v>
      </x:c>
    </x:row>
    <x:row r="15">
      <x:c r="A15" s="59" t="str">
        <x:v>tiff/trace_net_ask_api_final_return_policy_v21.py</x:v>
      </x:c>
      <x:c r="B15" s="59" t="str">
        <x:v>serving</x:v>
      </x:c>
      <x:c r="C15" s="59" t="str">
        <x:v>src/trace_net/serving/</x:v>
      </x:c>
      <x:c r="D15" s="59" t="str">
        <x:v>src/trace_net/serving/trace_net_ask_api_final_return_policy_v21.py</x:v>
      </x:c>
      <x:c r="E15" s="59" t="str">
        <x:v>serving/runtime module</x:v>
      </x:c>
      <x:c r="F15" s="59" t="str">
        <x:v>MOVE_WITH_PROTECTED_COMPATIBILITY_WRAPPER</x:v>
      </x:c>
      <x:c r="G15" s="59" t="n">
        <x:v>5</x:v>
      </x:c>
      <x:c r="H15" s="59" t="str">
        <x:v>scripts/build_trace_net_ask_api_final_return_policy_v21.py; scripts/check_trace_net_ask_api_final_return_policy_v21_quality.py; scripts/run_trace_net_ask_api_final_return_policy_v21.py; tests/unit/test_trace_net_ask_api_final_return_policy_v21.py; tests/unit/test_trace_net_ask_api_final_return_policy_v21_quality.py</x:v>
      </x:c>
      <x:c r="I15" s="59" t="str">
        <x:v>8014</x:v>
      </x:c>
      <x:c r="J15" s="59" t="str"/>
      <x:c r="K15" s="59" t="str">
        <x:v>Old entrypoint must remain callable; verify relevant ports and OpenWebUI behavior.</x:v>
      </x:c>
      <x:c r="L15" s="59" t="str">
        <x:v>https://github.com/jwild2027/heico-ai-internship-summer-2026/blob/srv/tiff/trace_net_ask_api_final_return_policy_v21.py</x:v>
      </x:c>
    </x:row>
    <x:row r="16">
      <x:c r="A16" s="59" t="str">
        <x:v>tiff/trace_net_ask_api_hybrid_v3_routing_v1.py</x:v>
      </x:c>
      <x:c r="B16" s="59" t="str">
        <x:v>serving</x:v>
      </x:c>
      <x:c r="C16" s="59" t="str">
        <x:v>src/trace_net/serving/</x:v>
      </x:c>
      <x:c r="D16" s="59" t="str">
        <x:v>src/trace_net/serving/trace_net_ask_api_hybrid_v3_routing_v1.py</x:v>
      </x:c>
      <x:c r="E16" s="59" t="str">
        <x:v>serving/runtime module</x:v>
      </x:c>
      <x:c r="F16" s="59" t="str">
        <x:v>MOVE_WITH_PROTECTED_COMPATIBILITY_WRAPPER</x:v>
      </x:c>
      <x:c r="G16" s="59" t="n">
        <x:v>5</x:v>
      </x:c>
      <x:c r="H16" s="59" t="str">
        <x:v>scripts/build_trace_net_ask_api_hybrid_v3_routing_v1.py; scripts/check_trace_net_ask_api_hybrid_v3_routing_v1_quality.py; scripts/run_trace_net_ask_api_hybrid_v3_routing_v1.py; tests/unit/test_trace_net_ask_api_hybrid_v3_routing_v1.py; tests/unit/test_trace_net_ask_api_hybrid_v3_routing_v1_quality.py</x:v>
      </x:c>
      <x:c r="I16" s="59" t="str">
        <x:v>8015</x:v>
      </x:c>
      <x:c r="J16" s="59" t="str">
        <x:v>TRACE_NET_ASK_API_KEY</x:v>
      </x:c>
      <x:c r="K16" s="59" t="str">
        <x:v>Old entrypoint must remain callable; verify relevant ports and OpenWebUI behavior.</x:v>
      </x:c>
      <x:c r="L16" s="59" t="str">
        <x:v>https://github.com/jwild2027/heico-ai-internship-summer-2026/blob/srv/tiff/trace_net_ask_api_hybrid_v3_routing_v1.py</x:v>
      </x:c>
    </x:row>
    <x:row r="17">
      <x:c r="A17" s="59" t="str">
        <x:v>tiff/trace_net_ask_api_v1.py</x:v>
      </x:c>
      <x:c r="B17" s="59" t="str">
        <x:v>serving</x:v>
      </x:c>
      <x:c r="C17" s="59" t="str">
        <x:v>src/trace_net/serving/</x:v>
      </x:c>
      <x:c r="D17" s="59" t="str">
        <x:v>src/trace_net/serving/trace_net_ask_api_v1.py</x:v>
      </x:c>
      <x:c r="E17" s="59" t="str">
        <x:v>serving/runtime module</x:v>
      </x:c>
      <x:c r="F17" s="59" t="str">
        <x:v>MOVE_WITH_PROTECTED_COMPATIBILITY_WRAPPER</x:v>
      </x:c>
      <x:c r="G17" s="59" t="n">
        <x:v>4</x:v>
      </x:c>
      <x:c r="H17" s="59" t="str">
        <x:v>scripts/check_trace_net_ask_api_v1_quality.py; scripts/run_trace_net_ask_api_v1.py; tests/unit/test_trace_net_ask_api_v1.py; tests/unit/test_trace_net_ask_api_v1_quality.py</x:v>
      </x:c>
      <x:c r="I17" s="59" t="str">
        <x:v>8012</x:v>
      </x:c>
      <x:c r="J17" s="59" t="str">
        <x:v>TRACE_NET_ASK_API_KEY</x:v>
      </x:c>
      <x:c r="K17" s="59" t="str">
        <x:v>Old entrypoint must remain callable; verify relevant ports and OpenWebUI behavior.</x:v>
      </x:c>
      <x:c r="L17" s="59" t="str">
        <x:v>https://github.com/jwild2027/heico-ai-internship-summer-2026/blob/srv/tiff/trace_net_ask_api_v1.py</x:v>
      </x:c>
    </x:row>
    <x:row r="18">
      <x:c r="A18" s="59" t="str">
        <x:v>tiff/trace_net_canonical_runtime_map_v1.py</x:v>
      </x:c>
      <x:c r="B18" s="59" t="str">
        <x:v>core</x:v>
      </x:c>
      <x:c r="C18" s="59" t="str">
        <x:v>src/trace_net/core/</x:v>
      </x:c>
      <x:c r="D18" s="59" t="str">
        <x:v>src/trace_net/core/trace_net_canonical_runtime_map_v1.py</x:v>
      </x:c>
      <x:c r="E18" s="59" t="str">
        <x:v>runtime orchestration module</x:v>
      </x:c>
      <x:c r="F18" s="59" t="str">
        <x:v>MOVE_WITH_PROTECTED_COMPATIBILITY_WRAPPER</x:v>
      </x:c>
      <x:c r="G18" s="59" t="n">
        <x:v>3</x:v>
      </x:c>
      <x:c r="H18" s="59" t="str">
        <x:v>scripts/build_trace_net_canonical_runtime_map_v1.py; scripts/check_trace_net_canonical_runtime_map_v1_quality.py; tests/unit/test_trace_net_canonical_runtime_map_v1.py</x:v>
      </x:c>
      <x:c r="I18" s="59" t="str">
        <x:v>8014, 8020, 8021, 8023, 11434</x:v>
      </x:c>
      <x:c r="J18" s="59" t="str"/>
      <x:c r="K18" s="59" t="str">
        <x:v>Preserve CLI, environment variables, and runtime chain during move.</x:v>
      </x:c>
      <x:c r="L18" s="59" t="str">
        <x:v>https://github.com/jwild2027/heico-ai-internship-summer-2026/blob/srv/tiff/trace_net_canonical_runtime_map_v1.py</x:v>
      </x:c>
    </x:row>
    <x:row r="19">
      <x:c r="A19" s="59" t="str">
        <x:v>tiff/trace_net_e2e_image_visual_observer_route_v34.py</x:v>
      </x:c>
      <x:c r="B19" s="59" t="str">
        <x:v>serving</x:v>
      </x:c>
      <x:c r="C19" s="59" t="str">
        <x:v>src/trace_net/serving/</x:v>
      </x:c>
      <x:c r="D19" s="59" t="str">
        <x:v>src/trace_net/serving/trace_net_e2e_image_visual_observer_route_v34.py</x:v>
      </x:c>
      <x:c r="E19" s="59" t="str">
        <x:v>serving/runtime module</x:v>
      </x:c>
      <x:c r="F19" s="59" t="str">
        <x:v>MOVE_WITH_PROTECTED_COMPATIBILITY_WRAPPER</x:v>
      </x:c>
      <x:c r="G19" s="59" t="n">
        <x:v>4</x:v>
      </x:c>
      <x:c r="H19" s="59" t="str">
        <x:v>scripts/build_trace_net_e2e_image_visual_observer_route_v34.py; scripts/check_trace_net_e2e_image_visual_observer_route_v34_quality.py; scripts/serve_trace_net_e2e_image_visual_observer_route_v34.py; tests/unit/test_trace_net_e2e_image_visual_observer_route_v34.py</x:v>
      </x:c>
      <x:c r="I19" s="59" t="str">
        <x:v>8029, 11434</x:v>
      </x:c>
      <x:c r="J19" s="59" t="str"/>
      <x:c r="K19" s="59" t="str">
        <x:v>Old entrypoint must remain callable; verify relevant ports and OpenWebUI behavior.</x:v>
      </x:c>
      <x:c r="L19" s="59" t="str">
        <x:v>https://github.com/jwild2027/heico-ai-internship-summer-2026/blob/srv/tiff/trace_net_e2e_image_visual_observer_route_v34.py</x:v>
      </x:c>
    </x:row>
    <x:row r="20">
      <x:c r="A20" s="59" t="str">
        <x:v>tiff/trace_net_e2e_image_visual_observer_route_v34_1.py</x:v>
      </x:c>
      <x:c r="B20" s="59" t="str">
        <x:v>serving</x:v>
      </x:c>
      <x:c r="C20" s="59" t="str">
        <x:v>src/trace_net/serving/</x:v>
      </x:c>
      <x:c r="D20" s="59" t="str">
        <x:v>src/trace_net/serving/trace_net_e2e_image_visual_observer_route_v34_1.py</x:v>
      </x:c>
      <x:c r="E20" s="59" t="str">
        <x:v>serving/runtime module</x:v>
      </x:c>
      <x:c r="F20" s="59" t="str">
        <x:v>MOVE_WITH_PROTECTED_COMPATIBILITY_WRAPPER</x:v>
      </x:c>
      <x:c r="G20" s="59" t="n">
        <x:v>4</x:v>
      </x:c>
      <x:c r="H20" s="59" t="str">
        <x:v>scripts/build_trace_net_e2e_image_visual_observer_route_v34_1.py; scripts/check_trace_net_e2e_image_visual_observer_route_v34_1_quality.py; scripts/serve_trace_net_e2e_image_visual_observer_route_v34_1.py; tests/unit/test_trace_net_e2e_image_visual_observer_route_v34_1.py</x:v>
      </x:c>
      <x:c r="I20" s="59" t="str">
        <x:v>8029, 11434</x:v>
      </x:c>
      <x:c r="J20" s="59" t="str"/>
      <x:c r="K20" s="59" t="str">
        <x:v>Old entrypoint must remain callable; verify relevant ports and OpenWebUI behavior.</x:v>
      </x:c>
      <x:c r="L20" s="59" t="str">
        <x:v>https://github.com/jwild2027/heico-ai-internship-summer-2026/blob/srv/tiff/trace_net_e2e_image_visual_observer_route_v34_1.py</x:v>
      </x:c>
    </x:row>
    <x:row r="21">
      <x:c r="A21" s="59" t="str">
        <x:v>tiff/trace_net_e2e_image_visual_observer_route_v34_2.py</x:v>
      </x:c>
      <x:c r="B21" s="59" t="str">
        <x:v>serving</x:v>
      </x:c>
      <x:c r="C21" s="59" t="str">
        <x:v>src/trace_net/serving/</x:v>
      </x:c>
      <x:c r="D21" s="59" t="str">
        <x:v>src/trace_net/serving/trace_net_e2e_image_visual_observer_route_v34_2.py</x:v>
      </x:c>
      <x:c r="E21" s="59" t="str">
        <x:v>serving/runtime module</x:v>
      </x:c>
      <x:c r="F21" s="59" t="str">
        <x:v>MOVE_WITH_PROTECTED_COMPATIBILITY_WRAPPER</x:v>
      </x:c>
      <x:c r="G21" s="59" t="n">
        <x:v>4</x:v>
      </x:c>
      <x:c r="H21" s="59" t="str">
        <x:v>scripts/build_trace_net_e2e_image_visual_observer_route_v34_2.py; scripts/check_trace_net_e2e_image_visual_observer_route_v34_2_quality.py; scripts/serve_trace_net_e2e_image_visual_observer_route_v34_2.py; tests/unit/test_trace_net_e2e_image_visual_observer_route_v34_2.py</x:v>
      </x:c>
      <x:c r="I21" s="59" t="str">
        <x:v>8031, 11434</x:v>
      </x:c>
      <x:c r="J21" s="59" t="str"/>
      <x:c r="K21" s="59" t="str">
        <x:v>Old entrypoint must remain callable; verify relevant ports and OpenWebUI behavior.</x:v>
      </x:c>
      <x:c r="L21" s="59" t="str">
        <x:v>https://github.com/jwild2027/heico-ai-internship-summer-2026/blob/srv/tiff/trace_net_e2e_image_visual_observer_route_v34_2.py</x:v>
      </x:c>
    </x:row>
    <x:row r="22">
      <x:c r="A22" s="59" t="str">
        <x:v>tiff/trace_net_e2e_image_visual_observer_route_v34_3.py</x:v>
      </x:c>
      <x:c r="B22" s="59" t="str">
        <x:v>serving</x:v>
      </x:c>
      <x:c r="C22" s="59" t="str">
        <x:v>src/trace_net/serving/</x:v>
      </x:c>
      <x:c r="D22" s="59" t="str">
        <x:v>src/trace_net/serving/trace_net_e2e_image_visual_observer_route_v34_3.py</x:v>
      </x:c>
      <x:c r="E22" s="59" t="str">
        <x:v>serving/runtime module</x:v>
      </x:c>
      <x:c r="F22" s="59" t="str">
        <x:v>MOVE_WITH_PROTECTED_COMPATIBILITY_WRAPPER</x:v>
      </x:c>
      <x:c r="G22" s="59" t="n">
        <x:v>5</x:v>
      </x:c>
      <x:c r="H22" s="59" t="str">
        <x:v>scripts/build_trace_net_e2e_image_visual_observer_route_v34_3.py; scripts/check_trace_net_e2e_image_visual_observer_route_v34_3_quality.py; scripts/serve_trace_net_e2e_image_visual_observer_route_v34_3.py; tests/unit/test_trace_net_e2e_image_visual_observer_route_v34_3.py; tiff/trace_net_e2e_route_scoped_visual_context_builder_v35.py</x:v>
      </x:c>
      <x:c r="I22" s="59" t="str">
        <x:v>8032, 11434</x:v>
      </x:c>
      <x:c r="J22" s="59" t="str"/>
      <x:c r="K22" s="59" t="str">
        <x:v>Old entrypoint must remain callable; verify relevant ports and OpenWebUI behavior.</x:v>
      </x:c>
      <x:c r="L22" s="59" t="str">
        <x:v>https://github.com/jwild2027/heico-ai-internship-summer-2026/blob/srv/tiff/trace_net_e2e_image_visual_observer_route_v34_3.py</x:v>
      </x:c>
    </x:row>
    <x:row r="23">
      <x:c r="A23" s="59" t="str">
        <x:v>tiff/trace_net_e2e_live_deterministic_answer_planner_v28.py</x:v>
      </x:c>
      <x:c r="B23" s="59" t="str">
        <x:v>serving</x:v>
      </x:c>
      <x:c r="C23" s="59" t="str">
        <x:v>src/trace_net/serving/</x:v>
      </x:c>
      <x:c r="D23" s="59" t="str">
        <x:v>src/trace_net/serving/trace_net_e2e_live_deterministic_answer_planner_v28.py</x:v>
      </x:c>
      <x:c r="E23" s="59" t="str">
        <x:v>active library module</x:v>
      </x:c>
      <x:c r="F23" s="59" t="str">
        <x:v>MOVE_WITH_PROTECTED_COMPATIBILITY_WRAPPER</x:v>
      </x:c>
      <x:c r="G23" s="59" t="n">
        <x:v>4</x:v>
      </x:c>
      <x:c r="H23" s="59" t="str">
        <x:v>scripts/build_trace_net_e2e_live_deterministic_answer_planner_v28.py; scripts/check_trace_net_e2e_live_deterministic_answer_planner_v28_quality.py; scripts/serve_trace_net_e2e_live_deterministic_answer_planner_v28.py; tests/unit/test_trace_net_e2e_live_deterministic_answer_planner_v28.py</x:v>
      </x:c>
      <x:c r="I23" s="59" t="str">
        <x:v>8023, 11434</x:v>
      </x:c>
      <x:c r="J23" s="59" t="str"/>
      <x:c r="K23" s="59" t="str">
        <x:v>Update imports and retain the old tiff module as a wrapper when callers exist.</x:v>
      </x:c>
      <x:c r="L23" s="59" t="str">
        <x:v>https://github.com/jwild2027/heico-ai-internship-summer-2026/blob/srv/tiff/trace_net_e2e_live_deterministic_answer_planner_v28.py</x:v>
      </x:c>
    </x:row>
    <x:row r="24">
      <x:c r="A24" s="59" t="str">
        <x:v>tiff/trace_net_e2e_live_dynamic_fallback_v16.py</x:v>
      </x:c>
      <x:c r="B24" s="59" t="str">
        <x:v>serving</x:v>
      </x:c>
      <x:c r="C24" s="59" t="str">
        <x:v>src/trace_net/serving/</x:v>
      </x:c>
      <x:c r="D24" s="59" t="str">
        <x:v>src/trace_net/serving/trace_net_e2e_live_dynamic_fallback_v16.py</x:v>
      </x:c>
      <x:c r="E24" s="59" t="str">
        <x:v>active library module</x:v>
      </x:c>
      <x:c r="F24" s="59" t="str">
        <x:v>MOVE_WITH_PROTECTED_COMPATIBILITY_WRAPPER</x:v>
      </x:c>
      <x:c r="G24" s="59" t="n">
        <x:v>4</x:v>
      </x:c>
      <x:c r="H24" s="59" t="str">
        <x:v>scripts/build_trace_net_e2e_live_dynamic_fallback_v16.py; scripts/check_trace_net_e2e_live_dynamic_fallback_v16_quality.py; scripts/serve_trace_net_e2e_live_dynamic_fallback_v16.py; tests/unit/test_trace_net_e2e_live_dynamic_fallback_v16.py</x:v>
      </x:c>
      <x:c r="I24" s="59" t="str">
        <x:v>8019</x:v>
      </x:c>
      <x:c r="J24" s="59" t="str"/>
      <x:c r="K24" s="59" t="str">
        <x:v>Update imports and retain the old tiff module as a wrapper when callers exist.</x:v>
      </x:c>
      <x:c r="L24" s="59" t="str">
        <x:v>https://github.com/jwild2027/heico-ai-internship-summer-2026/blob/srv/tiff/trace_net_e2e_live_dynamic_fallback_v16.py</x:v>
      </x:c>
    </x:row>
    <x:row r="25">
      <x:c r="A25" s="59" t="str">
        <x:v>tiff/trace_net_e2e_live_gemma_answer_writer_endpoint_v32.py</x:v>
      </x:c>
      <x:c r="B25" s="59" t="str">
        <x:v>serving</x:v>
      </x:c>
      <x:c r="C25" s="59" t="str">
        <x:v>src/trace_net/serving/</x:v>
      </x:c>
      <x:c r="D25" s="59" t="str">
        <x:v>src/trace_net/serving/trace_net_e2e_live_gemma_answer_writer_endpoint_v32.py</x:v>
      </x:c>
      <x:c r="E25" s="59" t="str">
        <x:v>serving/runtime module</x:v>
      </x:c>
      <x:c r="F25" s="59" t="str">
        <x:v>MOVE_WITH_PROTECTED_COMPATIBILITY_WRAPPER</x:v>
      </x:c>
      <x:c r="G25" s="59" t="n">
        <x:v>4</x:v>
      </x:c>
      <x:c r="H25" s="59" t="str">
        <x:v>scripts/build_trace_net_e2e_live_gemma_answer_writer_endpoint_v32.py; scripts/check_trace_net_e2e_live_gemma_answer_writer_endpoint_v32_quality.py; scripts/serve_trace_net_e2e_live_gemma_answer_writer_endpoint_v32.py; tests/unit/test_trace_net_e2e_live_gemma_answer_writer_endpoint_v32.py</x:v>
      </x:c>
      <x:c r="I25" s="59" t="str">
        <x:v>8027, 11434</x:v>
      </x:c>
      <x:c r="J25" s="59" t="str"/>
      <x:c r="K25" s="59" t="str">
        <x:v>Old entrypoint must remain callable; verify relevant ports and OpenWebUI behavior.</x:v>
      </x:c>
      <x:c r="L25" s="59" t="str">
        <x:v>https://github.com/jwild2027/heico-ai-internship-summer-2026/blob/srv/tiff/trace_net_e2e_live_gemma_answer_writer_endpoint_v32.py</x:v>
      </x:c>
    </x:row>
    <x:row r="26">
      <x:c r="A26" s="59" t="str">
        <x:v>tiff/trace_net_e2e_live_gemma_answer_writer_endpoint_v33.py</x:v>
      </x:c>
      <x:c r="B26" s="59" t="str">
        <x:v>serving</x:v>
      </x:c>
      <x:c r="C26" s="59" t="str">
        <x:v>src/trace_net/serving/</x:v>
      </x:c>
      <x:c r="D26" s="59" t="str">
        <x:v>src/trace_net/serving/trace_net_e2e_live_gemma_answer_writer_endpoint_v33.py</x:v>
      </x:c>
      <x:c r="E26" s="59" t="str">
        <x:v>serving/runtime module</x:v>
      </x:c>
      <x:c r="F26" s="59" t="str">
        <x:v>MOVE_WITH_PROTECTED_COMPATIBILITY_WRAPPER</x:v>
      </x:c>
      <x:c r="G26" s="59" t="n">
        <x:v>4</x:v>
      </x:c>
      <x:c r="H26" s="59" t="str">
        <x:v>scripts/build_trace_net_e2e_live_gemma_answer_writer_endpoint_v33.py; scripts/check_trace_net_e2e_live_gemma_answer_writer_endpoint_v33_quality.py; scripts/serve_trace_net_e2e_live_gemma_answer_writer_endpoint_v33.py; tests/unit/test_trace_net_e2e_live_gemma_answer_writer_endpoint_v33.py</x:v>
      </x:c>
      <x:c r="I26" s="59" t="str">
        <x:v>8027, 11434</x:v>
      </x:c>
      <x:c r="J26" s="59" t="str"/>
      <x:c r="K26" s="59" t="str">
        <x:v>Old entrypoint must remain callable; verify relevant ports and OpenWebUI behavior.</x:v>
      </x:c>
      <x:c r="L26" s="59" t="str">
        <x:v>https://github.com/jwild2027/heico-ai-internship-summer-2026/blob/srv/tiff/trace_net_e2e_live_gemma_answer_writer_endpoint_v33.py</x:v>
      </x:c>
    </x:row>
    <x:row r="27">
      <x:c r="A27" s="59" t="str">
        <x:v>tiff/trace_net_e2e_live_llm_draft_adapter_v22.py</x:v>
      </x:c>
      <x:c r="B27" s="59" t="str">
        <x:v>serving</x:v>
      </x:c>
      <x:c r="C27" s="59" t="str">
        <x:v>src/trace_net/serving/</x:v>
      </x:c>
      <x:c r="D27" s="59" t="str">
        <x:v>src/trace_net/serving/trace_net_e2e_live_llm_draft_adapter_v22.py</x:v>
      </x:c>
      <x:c r="E27" s="59" t="str">
        <x:v>active library module</x:v>
      </x:c>
      <x:c r="F27" s="59" t="str">
        <x:v>MOVE_WITH_PROTECTED_COMPATIBILITY_WRAPPER</x:v>
      </x:c>
      <x:c r="G27" s="59" t="n">
        <x:v>3</x:v>
      </x:c>
      <x:c r="H27" s="59" t="str">
        <x:v>scripts/build_trace_net_e2e_live_llm_draft_adapter_v22.py; scripts/check_trace_net_e2e_live_llm_draft_adapter_v22_quality.py; tests/unit/test_trace_net_e2e_live_llm_draft_adapter_v22.py</x:v>
      </x:c>
      <x:c r="I27" s="59" t="str">
        <x:v>11434</x:v>
      </x:c>
      <x:c r="J27" s="59" t="str"/>
      <x:c r="K27" s="59" t="str">
        <x:v>Update imports and retain the old tiff module as a wrapper when callers exist.</x:v>
      </x:c>
      <x:c r="L27" s="59" t="str">
        <x:v>https://github.com/jwild2027/heico-ai-internship-summer-2026/blob/srv/tiff/trace_net_e2e_live_llm_draft_adapter_v22.py</x:v>
      </x:c>
    </x:row>
    <x:row r="28">
      <x:c r="A28" s="59" t="str">
        <x:v>tiff/trace_net_e2e_live_orchestrator_endpoint_v25.py</x:v>
      </x:c>
      <x:c r="B28" s="59" t="str">
        <x:v>serving</x:v>
      </x:c>
      <x:c r="C28" s="59" t="str">
        <x:v>src/trace_net/serving/</x:v>
      </x:c>
      <x:c r="D28" s="59" t="str">
        <x:v>src/trace_net/serving/trace_net_e2e_live_orchestrator_endpoint_v25.py</x:v>
      </x:c>
      <x:c r="E28" s="59" t="str">
        <x:v>serving/runtime module</x:v>
      </x:c>
      <x:c r="F28" s="59" t="str">
        <x:v>MOVE_WITH_PROTECTED_COMPATIBILITY_WRAPPER</x:v>
      </x:c>
      <x:c r="G28" s="59" t="n">
        <x:v>8</x:v>
      </x:c>
      <x:c r="H28" s="59" t="str">
        <x:v>scripts/build_trace_net_e2e_live_orchestrator_endpoint_v25.py; scripts/check_trace_net_e2e_live_orchestrator_endpoint_v25_quality.py; scripts/serve_trace_net_e2e_live_orchestrator_endpoint_v25.py; tests/unit/test_trace_net_e2e_live_orchestrator_endpoint_v25.py; tests/unit/test_trace_net_strict_query_planning_v1.py; tests/unit/test_trace_net_table_text_matching_v1.py; trace_net_strict_query_plan_gemma_telemetry_v1_patch/tests/unit/test_trace_net_strict_query_planning_v1.py; trace_net_table_nomenclature_builder_v2_patch/tests/unit/test_trace_net_table_text_matching_v1.py; trace_net_strict_query_plan_gemma_telemetry_v1_patch/APPLY_ME.py; trace_net_table_direct_evidence_fix_v2_1/APPLY_ME.py; … +1 more</x:v>
      </x:c>
      <x:c r="I28" s="59" t="str">
        <x:v>8021, 11434</x:v>
      </x:c>
      <x:c r="J28" s="59" t="str"/>
      <x:c r="K28" s="59" t="str">
        <x:v>Old entrypoint must remain callable; verify relevant ports and OpenWebUI behavior.</x:v>
      </x:c>
      <x:c r="L28" s="59" t="str">
        <x:v>https://github.com/jwild2027/heico-ai-internship-summer-2026/blob/srv/tiff/trace_net_e2e_live_orchestrator_endpoint_v25.py</x:v>
      </x:c>
    </x:row>
    <x:row r="29">
      <x:c r="A29" s="59" t="str">
        <x:v>tiff/trace_net_e2e_live_orchestrator_stage_timing_fastpath_v27.py</x:v>
      </x:c>
      <x:c r="B29" s="59" t="str">
        <x:v>serving</x:v>
      </x:c>
      <x:c r="C29" s="59" t="str">
        <x:v>src/trace_net/serving/</x:v>
      </x:c>
      <x:c r="D29" s="59" t="str">
        <x:v>src/trace_net/serving/trace_net_e2e_live_orchestrator_stage_timing_fastpath_v27.py</x:v>
      </x:c>
      <x:c r="E29" s="59" t="str">
        <x:v>runtime orchestration module</x:v>
      </x:c>
      <x:c r="F29" s="59" t="str">
        <x:v>MOVE_WITH_PROTECTED_COMPATIBILITY_WRAPPER</x:v>
      </x:c>
      <x:c r="G29" s="59" t="n">
        <x:v>4</x:v>
      </x:c>
      <x:c r="H29" s="59" t="str">
        <x:v>scripts/build_trace_net_e2e_live_orchestrator_stage_timing_fastpath_v27.py; scripts/check_trace_net_e2e_live_orchestrator_stage_timing_fastpath_v27_quality.py; scripts/serve_trace_net_e2e_live_orchestrator_stage_timing_fastpath_v27.py; tests/unit/test_trace_net_e2e_live_orchestrator_stage_timing_fastpath_v27.py; tiff/trace_net_canonical_runtime_map_v1.py</x:v>
      </x:c>
      <x:c r="I29" s="59" t="str">
        <x:v>8022, 11434</x:v>
      </x:c>
      <x:c r="J29" s="59" t="str"/>
      <x:c r="K29" s="59" t="str">
        <x:v>Preserve CLI, environment variables, and runtime chain during move.</x:v>
      </x:c>
      <x:c r="L29" s="59" t="str">
        <x:v>https://github.com/jwild2027/heico-ai-internship-summer-2026/blob/srv/tiff/trace_net_e2e_live_orchestrator_stage_timing_fastpath_v27.py</x:v>
      </x:c>
    </x:row>
    <x:row r="30">
      <x:c r="A30" s="59" t="str">
        <x:v>tiff/trace_net_e2e_live_query_pipeline_v15.py</x:v>
      </x:c>
      <x:c r="B30" s="59" t="str">
        <x:v>serving</x:v>
      </x:c>
      <x:c r="C30" s="59" t="str">
        <x:v>src/trace_net/serving/</x:v>
      </x:c>
      <x:c r="D30" s="59" t="str">
        <x:v>src/trace_net/serving/trace_net_e2e_live_query_pipeline_v15.py</x:v>
      </x:c>
      <x:c r="E30" s="59" t="str">
        <x:v>active library module</x:v>
      </x:c>
      <x:c r="F30" s="59" t="str">
        <x:v>MOVE_WITH_PROTECTED_COMPATIBILITY_WRAPPER</x:v>
      </x:c>
      <x:c r="G30" s="59" t="n">
        <x:v>4</x:v>
      </x:c>
      <x:c r="H30" s="59" t="str">
        <x:v>scripts/build_trace_net_e2e_live_query_pipeline_v15.py; scripts/serve_trace_net_e2e_live_query_pipeline_v15.py; tests/unit/test_trace_net_e2e_live_query_pipeline_v15.py; tiff/trace_net_e2e_live_dynamic_fallback_v16.py</x:v>
      </x:c>
      <x:c r="I30" s="59" t="str">
        <x:v>8018</x:v>
      </x:c>
      <x:c r="J30" s="59" t="str"/>
      <x:c r="K30" s="59" t="str">
        <x:v>Update imports and retain the old tiff module as a wrapper when callers exist.</x:v>
      </x:c>
      <x:c r="L30" s="59" t="str">
        <x:v>https://github.com/jwild2027/heico-ai-internship-summer-2026/blob/srv/tiff/trace_net_e2e_live_query_pipeline_v15.py</x:v>
      </x:c>
    </x:row>
    <x:row r="31">
      <x:c r="A31" s="59" t="str">
        <x:v>tiff/trace_net_e2e_live_relationship_final_gated_endpoint_v31.py</x:v>
      </x:c>
      <x:c r="B31" s="59" t="str">
        <x:v>validation</x:v>
      </x:c>
      <x:c r="C31" s="59" t="str">
        <x:v>src/trace_net/validation/</x:v>
      </x:c>
      <x:c r="D31" s="59" t="str">
        <x:v>src/trace_net/validation/trace_net_e2e_live_relationship_final_gated_endpoint_v31.py</x:v>
      </x:c>
      <x:c r="E31" s="59" t="str">
        <x:v>runtime validation/gating module</x:v>
      </x:c>
      <x:c r="F31" s="59" t="str">
        <x:v>MOVE_WITH_IMPORT_UPDATES_AND_COMPATIBILITY_WRAPPER</x:v>
      </x:c>
      <x:c r="G31" s="59" t="n">
        <x:v>4</x:v>
      </x:c>
      <x:c r="H31" s="59" t="str">
        <x:v>scripts/build_trace_net_e2e_live_relationship_final_gated_endpoint_v31.py; scripts/check_trace_net_e2e_live_relationship_final_gated_endpoint_v31_quality.py; scripts/serve_trace_net_e2e_live_relationship_final_gated_endpoint_v31.py; tests/unit/test_trace_net_e2e_live_relationship_final_gated_endpoint_v31.py</x:v>
      </x:c>
      <x:c r="I31" s="59" t="str">
        <x:v>8026</x:v>
      </x:c>
      <x:c r="J31" s="59" t="str"/>
      <x:c r="K31" s="59" t="str">
        <x:v>Preserve gating semantics and old import path until focused tests pass.</x:v>
      </x:c>
      <x:c r="L31" s="59" t="str">
        <x:v>https://github.com/jwild2027/heico-ai-internship-summer-2026/blob/srv/tiff/trace_net_e2e_live_relationship_final_gated_endpoint_v31.py</x:v>
      </x:c>
    </x:row>
    <x:row r="32">
      <x:c r="A32" s="59" t="str">
        <x:v>tiff/trace_net_e2e_live_relationship_synthesis_planner_v29.py</x:v>
      </x:c>
      <x:c r="B32" s="59" t="str">
        <x:v>graph</x:v>
      </x:c>
      <x:c r="C32" s="59" t="str">
        <x:v>src/trace_net/graph/</x:v>
      </x:c>
      <x:c r="D32" s="59" t="str">
        <x:v>src/trace_net/graph/trace_net_e2e_live_relationship_synthesis_planner_v29.py</x:v>
      </x:c>
      <x:c r="E32" s="59" t="str">
        <x:v>active library module</x:v>
      </x:c>
      <x:c r="F32" s="59" t="str">
        <x:v>MOVE_WITH_PROTECTED_COMPATIBILITY_WRAPPER</x:v>
      </x:c>
      <x:c r="G32" s="59" t="n">
        <x:v>4</x:v>
      </x:c>
      <x:c r="H32" s="59" t="str">
        <x:v>scripts/build_trace_net_e2e_live_relationship_synthesis_planner_v29.py; scripts/check_trace_net_e2e_live_relationship_synthesis_planner_v29_quality.py; scripts/serve_trace_net_e2e_live_relationship_synthesis_planner_v29.py; tests/unit/test_trace_net_e2e_live_relationship_synthesis_planner_v29.py</x:v>
      </x:c>
      <x:c r="I32" s="59" t="str">
        <x:v>8024, 11434</x:v>
      </x:c>
      <x:c r="J32" s="59" t="str"/>
      <x:c r="K32" s="59" t="str">
        <x:v>Update imports and retain the old tiff module as a wrapper when callers exist.</x:v>
      </x:c>
      <x:c r="L32" s="59" t="str">
        <x:v>https://github.com/jwild2027/heico-ai-internship-summer-2026/blob/srv/tiff/trace_net_e2e_live_relationship_synthesis_planner_v29.py</x:v>
      </x:c>
    </x:row>
    <x:row r="33">
      <x:c r="A33" s="59" t="str">
        <x:v>tiff/trace_net_e2e_live_webui_final_gated_gemma_endpoint_v24.py</x:v>
      </x:c>
      <x:c r="B33" s="59" t="str">
        <x:v>validation</x:v>
      </x:c>
      <x:c r="C33" s="59" t="str">
        <x:v>src/trace_net/validation/</x:v>
      </x:c>
      <x:c r="D33" s="59" t="str">
        <x:v>src/trace_net/validation/trace_net_e2e_live_webui_final_gated_gemma_endpoint_v24.py</x:v>
      </x:c>
      <x:c r="E33" s="59" t="str">
        <x:v>runtime validation/gating module</x:v>
      </x:c>
      <x:c r="F33" s="59" t="str">
        <x:v>MOVE_WITH_IMPORT_UPDATES_AND_COMPATIBILITY_WRAPPER</x:v>
      </x:c>
      <x:c r="G33" s="59" t="n">
        <x:v>4</x:v>
      </x:c>
      <x:c r="H33" s="59" t="str">
        <x:v>scripts/build_trace_net_e2e_live_webui_final_gated_gemma_endpoint_v24.py; scripts/check_trace_net_e2e_live_webui_final_gated_gemma_endpoint_v24_quality.py; scripts/serve_trace_net_e2e_live_webui_final_gated_gemma_endpoint_v24.py; tests/unit/test_trace_net_e2e_live_webui_final_gated_gemma_endpoint_v24.py</x:v>
      </x:c>
      <x:c r="I33" s="59" t="str">
        <x:v>8020</x:v>
      </x:c>
      <x:c r="J33" s="59" t="str"/>
      <x:c r="K33" s="59" t="str">
        <x:v>Preserve gating semantics and old import path until focused tests pass.</x:v>
      </x:c>
      <x:c r="L33" s="59" t="str">
        <x:v>https://github.com/jwild2027/heico-ai-internship-summer-2026/blob/srv/tiff/trace_net_e2e_live_webui_final_gated_gemma_endpoint_v24.py</x:v>
      </x:c>
    </x:row>
    <x:row r="34">
      <x:c r="A34" s="59" t="str">
        <x:v>tiff/trace_net_e2e_local_endpoint_v1.py</x:v>
      </x:c>
      <x:c r="B34" s="59" t="str">
        <x:v>serving</x:v>
      </x:c>
      <x:c r="C34" s="59" t="str">
        <x:v>src/trace_net/serving/</x:v>
      </x:c>
      <x:c r="D34" s="59" t="str">
        <x:v>src/trace_net/serving/trace_net_e2e_local_endpoint_v1.py</x:v>
      </x:c>
      <x:c r="E34" s="59" t="str">
        <x:v>serving/runtime module</x:v>
      </x:c>
      <x:c r="F34" s="59" t="str">
        <x:v>MOVE_WITH_PROTECTED_COMPATIBILITY_WRAPPER</x:v>
      </x:c>
      <x:c r="G34" s="59" t="n">
        <x:v>4</x:v>
      </x:c>
      <x:c r="H34" s="59" t="str">
        <x:v>scripts/build_trace_net_e2e_local_endpoint_v1.py; scripts/serve_trace_net_e2e_local_endpoint_v1.py; tests/unit/test_trace_net_e2e_local_endpoint_v1.py; tests/unit/test_trace_net_e2e_local_endpoint_v1_script_imports.py; tiff/trace_net_canonical_runtime_map_v1.py; tiff/trace_net_e2e_codebase_checklist_v1.py</x:v>
      </x:c>
      <x:c r="I34" s="59" t="str">
        <x:v>8014</x:v>
      </x:c>
      <x:c r="J34" s="59" t="str"/>
      <x:c r="K34" s="59" t="str">
        <x:v>Old entrypoint must remain callable; verify relevant ports and OpenWebUI behavior.</x:v>
      </x:c>
      <x:c r="L34" s="59" t="str">
        <x:v>https://github.com/jwild2027/heico-ai-internship-summer-2026/blob/srv/tiff/trace_net_e2e_local_endpoint_v1.py</x:v>
      </x:c>
    </x:row>
    <x:row r="35">
      <x:c r="A35" s="59" t="str">
        <x:v>tiff/trace_net_e2e_tool_usage_audit_v1.py</x:v>
      </x:c>
      <x:c r="B35" s="59" t="str">
        <x:v>validation</x:v>
      </x:c>
      <x:c r="C35" s="59" t="str">
        <x:v>src/trace_net/validation/</x:v>
      </x:c>
      <x:c r="D35" s="59" t="str">
        <x:v>src/trace_net/validation/trace_net_e2e_tool_usage_audit_v1.py</x:v>
      </x:c>
      <x:c r="E35" s="59" t="str">
        <x:v>active library module</x:v>
      </x:c>
      <x:c r="F35" s="59" t="str">
        <x:v>MOVE_WITH_PROTECTED_COMPATIBILITY_WRAPPER</x:v>
      </x:c>
      <x:c r="G35" s="59" t="n">
        <x:v>4</x:v>
      </x:c>
      <x:c r="H35" s="59" t="str">
        <x:v>scripts/build_trace_net_e2e_tool_usage_audit_v1.py; scripts/check_trace_net_e2e_tool_usage_audit_v1_quality.py; tests/unit/test_trace_net_e2e_tool_usage_audit_v1.py; tests/unit/test_trace_net_e2e_tool_usage_audit_v1_quality.py</x:v>
      </x:c>
      <x:c r="I35" s="59" t="str">
        <x:v>8044</x:v>
      </x:c>
      <x:c r="J35" s="59" t="str">
        <x:v>TRACE_NET_E2E_TOOL_USAGE_AUDIT_BUILT</x:v>
      </x:c>
      <x:c r="K35" s="59" t="str">
        <x:v>Update imports and retain the old tiff module as a wrapper when callers exist.</x:v>
      </x:c>
      <x:c r="L35" s="59" t="str">
        <x:v>https://github.com/jwild2027/heico-ai-internship-summer-2026/blob/srv/tiff/trace_net_e2e_tool_usage_audit_v1.py</x:v>
      </x:c>
    </x:row>
    <x:row r="36">
      <x:c r="A36" s="59" t="str">
        <x:v>tiff/trace_net_e2e_webui_final_answer_endpoint_v14.py</x:v>
      </x:c>
      <x:c r="B36" s="59" t="str">
        <x:v>serving</x:v>
      </x:c>
      <x:c r="C36" s="59" t="str">
        <x:v>src/trace_net/serving/</x:v>
      </x:c>
      <x:c r="D36" s="59" t="str">
        <x:v>src/trace_net/serving/trace_net_e2e_webui_final_answer_endpoint_v14.py</x:v>
      </x:c>
      <x:c r="E36" s="59" t="str">
        <x:v>serving/runtime module</x:v>
      </x:c>
      <x:c r="F36" s="59" t="str">
        <x:v>MOVE_WITH_PROTECTED_COMPATIBILITY_WRAPPER</x:v>
      </x:c>
      <x:c r="G36" s="59" t="n">
        <x:v>5</x:v>
      </x:c>
      <x:c r="H36" s="59" t="str">
        <x:v>scripts/build_trace_net_e2e_webui_final_answer_endpoint_v14.py; scripts/check_trace_net_e2e_webui_final_answer_endpoint_v14_quality.py; scripts/serve_trace_net_e2e_webui_final_answer_endpoint_v14.py; tests/unit/test_trace_net_e2e_webui_final_answer_endpoint_v14.py; tiff/trace_net_e2e_live_query_pipeline_v15.py</x:v>
      </x:c>
      <x:c r="I36" s="59" t="str">
        <x:v>8017</x:v>
      </x:c>
      <x:c r="J36" s="59" t="str"/>
      <x:c r="K36" s="59" t="str">
        <x:v>Old entrypoint must remain callable; verify relevant ports and OpenWebUI behavior.</x:v>
      </x:c>
      <x:c r="L36" s="59" t="str">
        <x:v>https://github.com/jwild2027/heico-ai-internship-summer-2026/blob/srv/tiff/trace_net_e2e_webui_final_answer_endpoint_v14.py</x:v>
      </x:c>
    </x:row>
    <x:row r="37">
      <x:c r="A37" s="59" t="str">
        <x:v>tiff/trace_net_engineering_engram_answer_runner_overlay_llm_smoke_v1.py</x:v>
      </x:c>
      <x:c r="B37" s="59" t="str">
        <x:v>engram</x:v>
      </x:c>
      <x:c r="C37" s="59" t="str">
        <x:v>src/trace_net/engram/</x:v>
      </x:c>
      <x:c r="D37" s="59" t="str">
        <x:v>src/trace_net/engram/trace_net_engineering_engram_answer_runner_overlay_llm_smoke_v1.py</x:v>
      </x:c>
      <x:c r="E37" s="59" t="str">
        <x:v>active library module</x:v>
      </x:c>
      <x:c r="F37" s="59" t="str">
        <x:v>MOVE_WITH_PROTECTED_COMPATIBILITY_WRAPPER</x:v>
      </x:c>
      <x:c r="G37" s="59" t="n">
        <x:v>3</x:v>
      </x:c>
      <x:c r="H37" s="59" t="str">
        <x:v>scripts/build_trace_net_engineering_engram_answer_runner_overlay_llm_smoke_v1.py; scripts/check_trace_net_engineering_engram_answer_runner_overlay_llm_smoke_v1.py; tests/unit/test_trace_net_engineering_engram_answer_runner_overlay_llm_smoke_v1.py; patches/trace_net_engram_overlay_steps_2_5_v1/APPLY_ME.py; tiff/trace_net_canonical_runtime_map_v1.py</x:v>
      </x:c>
      <x:c r="I37" s="59" t="str">
        <x:v>11434</x:v>
      </x:c>
      <x:c r="J37" s="59" t="str">
        <x:v>TRACE_NET_ENGINEERING_ENGRAM_ANSWER_RUNNER_OVERLAY_LLM_SMOKE_BUILT, TRACE_NET_ENGINEERING_ENGRAM_ANSWER_RUNNER_OVERLAY_LLM_SMOKE_CHECKED</x:v>
      </x:c>
      <x:c r="K37" s="59" t="str">
        <x:v>Update imports and retain the old tiff module as a wrapper when callers exist.</x:v>
      </x:c>
      <x:c r="L37" s="59" t="str">
        <x:v>https://github.com/jwild2027/heico-ai-internship-summer-2026/blob/srv/tiff/trace_net_engineering_engram_answer_runner_overlay_llm_smoke_v1.py</x:v>
      </x:c>
    </x:row>
    <x:row r="38">
      <x:c r="A38" s="59" t="str">
        <x:v>tiff/trace_net_engineering_engram_prompt_retrieval_llm_smoke_v1.py</x:v>
      </x:c>
      <x:c r="B38" s="59" t="str">
        <x:v>engram</x:v>
      </x:c>
      <x:c r="C38" s="59" t="str">
        <x:v>src/trace_net/engram/</x:v>
      </x:c>
      <x:c r="D38" s="59" t="str">
        <x:v>src/trace_net/engram/trace_net_engineering_engram_prompt_retrieval_llm_smoke_v1.py</x:v>
      </x:c>
      <x:c r="E38" s="59" t="str">
        <x:v>active library module</x:v>
      </x:c>
      <x:c r="F38" s="59" t="str">
        <x:v>MOVE_WITH_PROTECTED_COMPATIBILITY_WRAPPER</x:v>
      </x:c>
      <x:c r="G38" s="59" t="n">
        <x:v>3</x:v>
      </x:c>
      <x:c r="H38" s="59" t="str">
        <x:v>scripts/build_trace_net_engineering_engram_prompt_retrieval_llm_smoke_v1.py; scripts/check_trace_net_engineering_engram_prompt_retrieval_llm_smoke_v1.py; tests/unit/test_trace_net_engineering_engram_prompt_retrieval_llm_smoke_v1.py; tools/patch_archive/apply_trace_net_h22_prompt_boundary_phrase_fix_v1.py</x:v>
      </x:c>
      <x:c r="I38" s="59" t="str">
        <x:v>11434</x:v>
      </x:c>
      <x:c r="J38" s="59" t="str">
        <x:v>TRACE_NET_ENGINEERING_ENGRAM_PROMPT_RETRIEVAL_LLM_SMOKE_BUILT, TRACE_NET_ENGINEERING_ENGRAM_PROMPT_RETRIEVAL_LLM_SMOKE_CHECKED</x:v>
      </x:c>
      <x:c r="K38" s="59" t="str">
        <x:v>Update imports and retain the old tiff module as a wrapper when callers exist.</x:v>
      </x:c>
      <x:c r="L38" s="59" t="str">
        <x:v>https://github.com/jwild2027/heico-ai-internship-summer-2026/blob/srv/tiff/trace_net_engineering_engram_prompt_retrieval_llm_smoke_v1.py</x:v>
      </x:c>
    </x:row>
    <x:row r="39">
      <x:c r="A39" s="59" t="str">
        <x:v>tiff/trace_net_engineering_gemma_draft_adapter_v1.py</x:v>
      </x:c>
      <x:c r="B39" s="59" t="str">
        <x:v>writing</x:v>
      </x:c>
      <x:c r="C39" s="59" t="str">
        <x:v>src/trace_net/writing/</x:v>
      </x:c>
      <x:c r="D39" s="59" t="str">
        <x:v>src/trace_net/writing/trace_net_engineering_gemma_draft_adapter_v1.py</x:v>
      </x:c>
      <x:c r="E39" s="59" t="str">
        <x:v>active library module</x:v>
      </x:c>
      <x:c r="F39" s="59" t="str">
        <x:v>MOVE_WITH_PROTECTED_COMPATIBILITY_WRAPPER</x:v>
      </x:c>
      <x:c r="G39" s="59" t="n">
        <x:v>4</x:v>
      </x:c>
      <x:c r="H39" s="59" t="str">
        <x:v>scripts/build_trace_net_engineering_gemma_draft_adapter_v1.py; scripts/check_trace_net_engineering_gemma_draft_adapter_v1_quality.py; tests/unit/test_trace_net_engineering_gemma_draft_adapter_v1.py; tests/unit/test_trace_net_engineering_gemma_draft_adapter_v1_quality.py</x:v>
      </x:c>
      <x:c r="I39" s="59" t="str">
        <x:v>11434</x:v>
      </x:c>
      <x:c r="J39" s="59" t="str"/>
      <x:c r="K39" s="59" t="str">
        <x:v>Update imports and retain the old tiff module as a wrapper when callers exist.</x:v>
      </x:c>
      <x:c r="L39" s="59" t="str">
        <x:v>https://github.com/jwild2027/heico-ai-internship-summer-2026/blob/srv/tiff/trace_net_engineering_gemma_draft_adapter_v1.py</x:v>
      </x:c>
    </x:row>
    <x:row r="40">
      <x:c r="A40" s="59" t="str">
        <x:v>tiff/trace_net_engineering_gemma_draft_retry_prompt_v1.py</x:v>
      </x:c>
      <x:c r="B40" s="59" t="str">
        <x:v>writing</x:v>
      </x:c>
      <x:c r="C40" s="59" t="str">
        <x:v>src/trace_net/writing/</x:v>
      </x:c>
      <x:c r="D40" s="59" t="str">
        <x:v>src/trace_net/writing/trace_net_engineering_gemma_draft_retry_prompt_v1.py</x:v>
      </x:c>
      <x:c r="E40" s="59" t="str">
        <x:v>active library module</x:v>
      </x:c>
      <x:c r="F40" s="59" t="str">
        <x:v>MOVE_WITH_PROTECTED_COMPATIBILITY_WRAPPER</x:v>
      </x:c>
      <x:c r="G40" s="59" t="n">
        <x:v>4</x:v>
      </x:c>
      <x:c r="H40" s="59" t="str">
        <x:v>scripts/build_trace_net_engineering_gemma_draft_retry_prompt_v1.py; scripts/check_trace_net_engineering_gemma_draft_retry_prompt_v1_quality.py; tests/unit/test_trace_net_engineering_gemma_draft_retry_prompt_v1.py; tests/unit/test_trace_net_engineering_gemma_draft_retry_prompt_v1_quality.py</x:v>
      </x:c>
      <x:c r="I40" s="59" t="str">
        <x:v>11434</x:v>
      </x:c>
      <x:c r="J40" s="59" t="str"/>
      <x:c r="K40" s="59" t="str">
        <x:v>Update imports and retain the old tiff module as a wrapper when callers exist.</x:v>
      </x:c>
      <x:c r="L40" s="59" t="str">
        <x:v>https://github.com/jwild2027/heico-ai-internship-summer-2026/blob/srv/tiff/trace_net_engineering_gemma_draft_retry_prompt_v1.py</x:v>
      </x:c>
    </x:row>
    <x:row r="41">
      <x:c r="A41" s="59" t="str">
        <x:v>tiff/trace_net_engineering_llm_answer_smoke_v1.py</x:v>
      </x:c>
      <x:c r="B41" s="59" t="str">
        <x:v>validation</x:v>
      </x:c>
      <x:c r="C41" s="59" t="str">
        <x:v>src/trace_net/validation/</x:v>
      </x:c>
      <x:c r="D41" s="59" t="str">
        <x:v>src/trace_net/validation/trace_net_engineering_llm_answer_smoke_v1.py</x:v>
      </x:c>
      <x:c r="E41" s="59" t="str">
        <x:v>benchmark implementation module</x:v>
      </x:c>
      <x:c r="F41" s="59" t="str">
        <x:v>MOVE_WITH_IMPORT_UPDATES_AND_COMPATIBILITY_WRAPPER</x:v>
      </x:c>
      <x:c r="G41" s="59" t="n">
        <x:v>7</x:v>
      </x:c>
      <x:c r="H41" s="59" t="str">
        <x:v>scripts/build_trace_net_engineering_llm_answer_smoke_v1.py; scripts/check_trace_net_engineering_llm_answer_smoke_v1.py; tests/unit/test_trace_net_engineering_engram_prompt_injector_reliability_v1.py; tests/unit/test_trace_net_engineering_engram_prompt_injector_v1.py; tests/unit/test_trace_net_engineering_llm_answer_smoke_v1.py; tests/unit/test_trace_net_engineering_llm_scaffold_negation_gate_v1.py; tests/unit/test_trace_net_engineering_llm_smoke_path_trace_v1.py; docs/trace_net_engineering_engram_prompt_reliability_h16c_README.md; docs/trace_net_engineering_llm_scaffold_negation_gate_v1_README.md; docs/trace_net_engineering_llm_smoke_path_trace_v1_README.md; … +6 more</x:v>
      </x:c>
      <x:c r="I41" s="59" t="str">
        <x:v>11434</x:v>
      </x:c>
      <x:c r="J41" s="59" t="str">
        <x:v>TRACE_NET_ENGINEERING_ENGRAM_MEMORY, TRACE_NET_ENGINEERING_LLM_ANSWER_SMOKE_BUILT, TRACE_NET_ENGINEERING_LLM_ANSWER_SMOKE_CHECKED, TRACE_NET_SCAFFOLD</x:v>
      </x:c>
      <x:c r="K41" s="59" t="str">
        <x:v>Update run/check script imports and preserve question/output contracts.</x:v>
      </x:c>
      <x:c r="L41" s="59" t="str">
        <x:v>https://github.com/jwild2027/heico-ai-internship-summer-2026/blob/srv/tiff/trace_net_engineering_llm_answer_smoke_v1.py</x:v>
      </x:c>
    </x:row>
    <x:row r="42">
      <x:c r="A42" s="59" t="str">
        <x:v>tiff/trace_net_engineering_webui_answer_server_v1.py</x:v>
      </x:c>
      <x:c r="B42" s="59" t="str">
        <x:v>serving</x:v>
      </x:c>
      <x:c r="C42" s="59" t="str">
        <x:v>src/trace_net/serving/</x:v>
      </x:c>
      <x:c r="D42" s="59" t="str">
        <x:v>src/trace_net/serving/trace_net_engineering_webui_answer_server_v1.py</x:v>
      </x:c>
      <x:c r="E42" s="59" t="str">
        <x:v>serving/runtime module</x:v>
      </x:c>
      <x:c r="F42" s="59" t="str">
        <x:v>MOVE_WITH_PROTECTED_COMPATIBILITY_WRAPPER</x:v>
      </x:c>
      <x:c r="G42" s="59" t="n">
        <x:v>8</x:v>
      </x:c>
      <x:c r="H42" s="59" t="str">
        <x:v>scripts/build_trace_net_engineering_webui_answer_server_v1.py; scripts/check_trace_net_engineering_webui_answer_server_v1_quality.py; scripts/run_trace_net_engineering_webui_answer_server_v1.py; tests/unit/test_trace_net_engineering_webui_answer_server_v1.py; tests/unit/test_trace_net_engineering_webui_answer_server_v1_3.py; tests/unit/test_trace_net_engineering_webui_answer_server_v1_3_bridge_v1.py; tests/unit/test_trace_net_engineering_webui_answer_server_v1_quality.py; tiff/trace_net_engineering_webui_answer_server_v1_3.py; tiff/trace_net_canonical_runtime_map_v1.py</x:v>
      </x:c>
      <x:c r="I42" s="59" t="str">
        <x:v>8044, 11434</x:v>
      </x:c>
      <x:c r="J42" s="59" t="str"/>
      <x:c r="K42" s="59" t="str">
        <x:v>Old entrypoint must remain callable; verify relevant ports and OpenWebUI behavior.</x:v>
      </x:c>
      <x:c r="L42" s="59" t="str">
        <x:v>https://github.com/jwild2027/heico-ai-internship-summer-2026/blob/srv/tiff/trace_net_engineering_webui_answer_server_v1.py</x:v>
      </x:c>
    </x:row>
    <x:row r="43">
      <x:c r="A43" s="59" t="str">
        <x:v>tiff/trace_net_engineering_webui_answer_server_v1_3.py</x:v>
      </x:c>
      <x:c r="B43" s="59" t="str">
        <x:v>serving</x:v>
      </x:c>
      <x:c r="C43" s="59" t="str">
        <x:v>src/trace_net/serving/</x:v>
      </x:c>
      <x:c r="D43" s="59" t="str">
        <x:v>src/trace_net/serving/trace_net_engineering_webui_answer_server_v1_3.py</x:v>
      </x:c>
      <x:c r="E43" s="59" t="str">
        <x:v>serving/runtime module</x:v>
      </x:c>
      <x:c r="F43" s="59" t="str">
        <x:v>MOVE_WITH_PROTECTED_COMPATIBILITY_WRAPPER</x:v>
      </x:c>
      <x:c r="G43" s="59" t="n">
        <x:v>5</x:v>
      </x:c>
      <x:c r="H43" s="59" t="str">
        <x:v>scripts/build_trace_net_engineering_webui_answer_server_v1_3.py; scripts/check_trace_net_engineering_webui_answer_server_v1_3_quality.py; scripts/run_trace_net_engineering_webui_answer_server_v1_3.py; tests/unit/test_trace_net_engineering_webui_answer_server_v1_3.py; tiff/trace_net_engineering_webui_answer_server_v1_3_bridge_v1.py</x:v>
      </x:c>
      <x:c r="I43" s="59" t="str">
        <x:v>8044</x:v>
      </x:c>
      <x:c r="J43" s="59" t="str"/>
      <x:c r="K43" s="59" t="str">
        <x:v>Old entrypoint must remain callable; verify relevant ports and OpenWebUI behavior.</x:v>
      </x:c>
      <x:c r="L43" s="59" t="str">
        <x:v>https://github.com/jwild2027/heico-ai-internship-summer-2026/blob/srv/tiff/trace_net_engineering_webui_answer_server_v1_3.py</x:v>
      </x:c>
    </x:row>
    <x:row r="44">
      <x:c r="A44" s="59" t="str">
        <x:v>tiff/trace_net_engineering_webui_answer_server_v1_3_bridge_v1.py</x:v>
      </x:c>
      <x:c r="B44" s="59" t="str">
        <x:v>serving</x:v>
      </x:c>
      <x:c r="C44" s="59" t="str">
        <x:v>src/trace_net/serving/</x:v>
      </x:c>
      <x:c r="D44" s="59" t="str">
        <x:v>src/trace_net/serving/trace_net_engineering_webui_answer_server_v1_3_bridge_v1.py</x:v>
      </x:c>
      <x:c r="E44" s="59" t="str">
        <x:v>serving/runtime module</x:v>
      </x:c>
      <x:c r="F44" s="59" t="str">
        <x:v>MOVE_WITH_PROTECTED_COMPATIBILITY_WRAPPER</x:v>
      </x:c>
      <x:c r="G44" s="59" t="n">
        <x:v>6</x:v>
      </x:c>
      <x:c r="H44" s="59" t="str">
        <x:v>scripts/build_trace_net_engineering_webui_answer_server_v1_3_bridge_v1.py; scripts/check_trace_net_engineering_webui_answer_server_v1_3_bridge_v1_quality.py; scripts/run_trace_net_engineering_webui_answer_server_v1_3_bridge_v1.py; tests/unit/test_trace_net_engineering_webui_answer_server_v1_3_bridge_v1.py; tests/unit/test_trace_net_engineering_webui_answer_server_v1_3_bridge_v1_quality.py; tests/unit/test_trace_net_engineering_webui_answer_server_v1_3_bridge_v1_visual_context.py; tiff/trace_net_canonical_runtime_map_v1.py</x:v>
      </x:c>
      <x:c r="I44" s="59" t="str">
        <x:v>8044</x:v>
      </x:c>
      <x:c r="J44" s="59" t="str">
        <x:v>TRACE_NET_WEBUI_SELF_RAG_CRAG_BRIDGE_DISABLED, TRACE_NET_WEBUI_SELF_RAG_CRAG_BRIDGE_EXCEPTION</x:v>
      </x:c>
      <x:c r="K44" s="59" t="str">
        <x:v>Old entrypoint must remain callable; verify relevant ports and OpenWebUI behavior.</x:v>
      </x:c>
      <x:c r="L44" s="59" t="str">
        <x:v>https://github.com/jwild2027/heico-ai-internship-summer-2026/blob/srv/tiff/trace_net_engineering_webui_answer_server_v1_3_bridge_v1.py</x:v>
      </x:c>
    </x:row>
    <x:row r="45">
      <x:c r="A45" s="59" t="str">
        <x:v>tiff/trace_net_final_answer_gate_v1.py</x:v>
      </x:c>
      <x:c r="B45" s="59" t="str">
        <x:v>validation</x:v>
      </x:c>
      <x:c r="C45" s="59" t="str">
        <x:v>src/trace_net/validation/</x:v>
      </x:c>
      <x:c r="D45" s="59" t="str">
        <x:v>src/trace_net/validation/trace_net_final_answer_gate_v1.py</x:v>
      </x:c>
      <x:c r="E45" s="59" t="str">
        <x:v>active library module</x:v>
      </x:c>
      <x:c r="F45" s="59" t="str">
        <x:v>MOVE_WITH_PROTECTED_COMPATIBILITY_WRAPPER</x:v>
      </x:c>
      <x:c r="G45" s="59" t="n">
        <x:v>2</x:v>
      </x:c>
      <x:c r="H45" s="59" t="str">
        <x:v>scripts/build_trace_net_final_answer_gate_v1.py; scripts/check_trace_net_final_answer_gate_v1_quality.py</x:v>
      </x:c>
      <x:c r="I45" s="59" t="str">
        <x:v>11434</x:v>
      </x:c>
      <x:c r="J45" s="59" t="str"/>
      <x:c r="K45" s="59" t="str">
        <x:v>Update imports and retain the old tiff module as a wrapper when callers exist.</x:v>
      </x:c>
      <x:c r="L45" s="59" t="str">
        <x:v>https://github.com/jwild2027/heico-ai-internship-summer-2026/blob/srv/tiff/trace_net_final_answer_gate_v1.py</x:v>
      </x:c>
    </x:row>
    <x:row r="46">
      <x:c r="A46" s="59" t="str">
        <x:v>tiff/trace_net_graph_query_api_v1.py</x:v>
      </x:c>
      <x:c r="B46" s="59" t="str">
        <x:v>serving</x:v>
      </x:c>
      <x:c r="C46" s="59" t="str">
        <x:v>src/trace_net/serving/</x:v>
      </x:c>
      <x:c r="D46" s="59" t="str">
        <x:v>src/trace_net/serving/trace_net_graph_query_api_v1.py</x:v>
      </x:c>
      <x:c r="E46" s="59" t="str">
        <x:v>serving/runtime module</x:v>
      </x:c>
      <x:c r="F46" s="59" t="str">
        <x:v>MOVE_WITH_PROTECTED_COMPATIBILITY_WRAPPER</x:v>
      </x:c>
      <x:c r="G46" s="59" t="n">
        <x:v>5</x:v>
      </x:c>
      <x:c r="H46" s="59" t="str">
        <x:v>scripts/check_trace_net_graph_query_api_v1_quality.py; scripts/run_trace_net_graph_query_api_v1.py; tests/unit/test_trace_net_graph_query_api_v1.py; tests/unit/test_trace_net_graph_query_api_v1_quality.py; tests/unit/test_trace_net_graph_query_api_v1_script_imports.py</x:v>
      </x:c>
      <x:c r="I46" s="59" t="str">
        <x:v>8015</x:v>
      </x:c>
      <x:c r="J46" s="59" t="str"/>
      <x:c r="K46" s="59" t="str">
        <x:v>Old entrypoint must remain callable; verify relevant ports and OpenWebUI behavior.</x:v>
      </x:c>
      <x:c r="L46" s="59" t="str">
        <x:v>https://github.com/jwild2027/heico-ai-internship-summer-2026/blob/srv/tiff/trace_net_graph_query_api_v1.py</x:v>
      </x:c>
    </x:row>
    <x:row r="47">
      <x:c r="A47" s="59" t="str">
        <x:v>tiff/trace_net_graph_query_api_v1_1.py</x:v>
      </x:c>
      <x:c r="B47" s="59" t="str">
        <x:v>serving</x:v>
      </x:c>
      <x:c r="C47" s="59" t="str">
        <x:v>src/trace_net/serving/</x:v>
      </x:c>
      <x:c r="D47" s="59" t="str">
        <x:v>src/trace_net/serving/trace_net_graph_query_api_v1_1.py</x:v>
      </x:c>
      <x:c r="E47" s="59" t="str">
        <x:v>serving/runtime module</x:v>
      </x:c>
      <x:c r="F47" s="59" t="str">
        <x:v>MOVE_WITH_PROTECTED_COMPATIBILITY_WRAPPER</x:v>
      </x:c>
      <x:c r="G47" s="59" t="n">
        <x:v>4</x:v>
      </x:c>
      <x:c r="H47" s="59" t="str">
        <x:v>scripts/check_trace_net_graph_query_api_v1_1_quality.py; scripts/run_trace_net_graph_query_api_v1_1.py; tests/unit/test_trace_net_graph_query_api_v1_1.py; tests/unit/test_trace_net_graph_query_api_v1_1_quality.py</x:v>
      </x:c>
      <x:c r="I47" s="59" t="str">
        <x:v>8016</x:v>
      </x:c>
      <x:c r="J47" s="59" t="str"/>
      <x:c r="K47" s="59" t="str">
        <x:v>Old entrypoint must remain callable; verify relevant ports and OpenWebUI behavior.</x:v>
      </x:c>
      <x:c r="L47" s="59" t="str">
        <x:v>https://github.com/jwild2027/heico-ai-internship-summer-2026/blob/srv/tiff/trace_net_graph_query_api_v1_1.py</x:v>
      </x:c>
    </x:row>
    <x:row r="48">
      <x:c r="A48" s="59" t="str">
        <x:v>tiff/trace_net_h34_custom_question_progress_runner_v1.py</x:v>
      </x:c>
      <x:c r="B48" s="59" t="str">
        <x:v>validation</x:v>
      </x:c>
      <x:c r="C48" s="59" t="str">
        <x:v>src/trace_net/validation/</x:v>
      </x:c>
      <x:c r="D48" s="59" t="str">
        <x:v>src/trace_net/validation/trace_net_h34_custom_question_progress_runner_v1.py</x:v>
      </x:c>
      <x:c r="E48" s="59" t="str">
        <x:v>benchmark implementation module</x:v>
      </x:c>
      <x:c r="F48" s="59" t="str">
        <x:v>MOVE_WITH_IMPORT_UPDATES_AND_COMPATIBILITY_WRAPPER</x:v>
      </x:c>
      <x:c r="G48" s="59" t="n">
        <x:v>2</x:v>
      </x:c>
      <x:c r="H48" s="59" t="str">
        <x:v>scripts/run_trace_net_h34b_custom5_progress_v1.py; tests/unit/test_trace_net_h34_custom_question_progress_runner_v1.py</x:v>
      </x:c>
      <x:c r="I48" s="59" t="str">
        <x:v>11434</x:v>
      </x:c>
      <x:c r="J48" s="59" t="str">
        <x:v>TRACE_NET_H34B_CUSTOM_QUESTION_PROGRESS_RUN_BUILT</x:v>
      </x:c>
      <x:c r="K48" s="59" t="str">
        <x:v>Update run/check script imports and preserve question/output contracts.</x:v>
      </x:c>
      <x:c r="L48" s="59" t="str">
        <x:v>https://github.com/jwild2027/heico-ai-internship-summer-2026/blob/srv/tiff/trace_net_h34_custom_question_progress_runner_v1.py</x:v>
      </x:c>
    </x:row>
    <x:row r="49">
      <x:c r="A49" s="59" t="str">
        <x:v>tiff/trace_net_h35_custom_task_contract_runner_v1.py</x:v>
      </x:c>
      <x:c r="B49" s="59" t="str">
        <x:v>validation</x:v>
      </x:c>
      <x:c r="C49" s="59" t="str">
        <x:v>src/trace_net/validation/</x:v>
      </x:c>
      <x:c r="D49" s="59" t="str">
        <x:v>src/trace_net/validation/trace_net_h35_custom_task_contract_runner_v1.py</x:v>
      </x:c>
      <x:c r="E49" s="59" t="str">
        <x:v>active library module</x:v>
      </x:c>
      <x:c r="F49" s="59" t="str">
        <x:v>MOVE_WITH_PROTECTED_COMPATIBILITY_WRAPPER</x:v>
      </x:c>
      <x:c r="G49" s="59" t="n">
        <x:v>3</x:v>
      </x:c>
      <x:c r="H49" s="59" t="str">
        <x:v>scripts/check_trace_net_h35_custom_task_contract_runner_v1.py; scripts/run_trace_net_h35_custom_task_contract_runner_v1.py; tests/unit/test_trace_net_h35_custom_task_contract_runner_v1.py</x:v>
      </x:c>
      <x:c r="I49" s="59" t="str">
        <x:v>11434</x:v>
      </x:c>
      <x:c r="J49" s="59" t="str">
        <x:v>TRACE_NET_H35_CUSTOM_TASK_CONTRACT_RUN_BUILT, TRACE_NET_H35_CUSTOM_TASK_CONTRACT_RUN_CHECKED</x:v>
      </x:c>
      <x:c r="K49" s="59" t="str">
        <x:v>Update imports and retain the old tiff module as a wrapper when callers exist.</x:v>
      </x:c>
      <x:c r="L49" s="59" t="str">
        <x:v>https://github.com/jwild2027/heico-ai-internship-summer-2026/blob/srv/tiff/trace_net_h35_custom_task_contract_runner_v1.py</x:v>
      </x:c>
    </x:row>
    <x:row r="50">
      <x:c r="A50" s="59" t="str">
        <x:v>tiff/trace_net_h38_diversity_task_runner_v1.py</x:v>
      </x:c>
      <x:c r="B50" s="59" t="str">
        <x:v>validation</x:v>
      </x:c>
      <x:c r="C50" s="59" t="str">
        <x:v>src/trace_net/validation/</x:v>
      </x:c>
      <x:c r="D50" s="59" t="str">
        <x:v>src/trace_net/validation/trace_net_h38_diversity_task_runner_v1.py</x:v>
      </x:c>
      <x:c r="E50" s="59" t="str">
        <x:v>benchmark implementation module</x:v>
      </x:c>
      <x:c r="F50" s="59" t="str">
        <x:v>MOVE_WITH_IMPORT_UPDATES_AND_COMPATIBILITY_WRAPPER</x:v>
      </x:c>
      <x:c r="G50" s="59" t="n">
        <x:v>4</x:v>
      </x:c>
      <x:c r="H50" s="59" t="str">
        <x:v>scripts/check_trace_net_h38_diversity_task_runner_v1.py; scripts/run_trace_net_h38_diversity_task_runner_v1.py; tests/unit/test_trace_net_h38_diversity_task_runner_v1.py; tests/unit/test_trace_net_h38b_negation_artifact_repair_v1.py; tools/patch_archive/apply_trace_net_h38b_negation_artifact_repair_v1.py</x:v>
      </x:c>
      <x:c r="I50" s="59" t="str">
        <x:v>11434</x:v>
      </x:c>
      <x:c r="J50" s="59" t="str">
        <x:v>TRACE_NET_H38_DIVERSITY_TASK_RUN_BUILT, TRACE_NET_H38_DIVERSITY_TASK_RUN_CHECKED</x:v>
      </x:c>
      <x:c r="K50" s="59" t="str">
        <x:v>Update run/check script imports and preserve question/output contracts.</x:v>
      </x:c>
      <x:c r="L50" s="59" t="str">
        <x:v>https://github.com/jwild2027/heico-ai-internship-summer-2026/blob/srv/tiff/trace_net_h38_diversity_task_runner_v1.py</x:v>
      </x:c>
    </x:row>
    <x:row r="51">
      <x:c r="A51" s="59" t="str">
        <x:v>tiff/trace_net_h38c_diversity_task_repair_runner_v1.py</x:v>
      </x:c>
      <x:c r="B51" s="59" t="str">
        <x:v>ingestion</x:v>
      </x:c>
      <x:c r="C51" s="59" t="str">
        <x:v>src/trace_net/ingestion/</x:v>
      </x:c>
      <x:c r="D51" s="59" t="str">
        <x:v>src/trace_net/ingestion/trace_net_h38c_diversity_task_repair_runner_v1.py</x:v>
      </x:c>
      <x:c r="E51" s="59" t="str">
        <x:v>active library module</x:v>
      </x:c>
      <x:c r="F51" s="59" t="str">
        <x:v>MOVE_WITH_PROTECTED_COMPATIBILITY_WRAPPER</x:v>
      </x:c>
      <x:c r="G51" s="59" t="n">
        <x:v>3</x:v>
      </x:c>
      <x:c r="H51" s="59" t="str">
        <x:v>scripts/check_trace_net_h38c_diversity_task_repair_runner_v1.py; scripts/run_trace_net_h38c_diversity_task_repair_runner_v1.py; tests/unit/test_trace_net_h38c_diversity_task_repair_runner_v1.py</x:v>
      </x:c>
      <x:c r="I51" s="59" t="str">
        <x:v>11434</x:v>
      </x:c>
      <x:c r="J51" s="59" t="str">
        <x:v>TRACE_NET_H38C_DIVERSITY_TASK_REPAIR_RUN_BUILT, TRACE_NET_H38C_DIVERSITY_TASK_REPAIR_RUN_CHECKED</x:v>
      </x:c>
      <x:c r="K51" s="59" t="str">
        <x:v>Update imports and retain the old tiff module as a wrapper when callers exist.</x:v>
      </x:c>
      <x:c r="L51" s="59" t="str">
        <x:v>https://github.com/jwild2027/heico-ai-internship-summer-2026/blob/srv/tiff/trace_net_h38c_diversity_task_repair_runner_v1.py</x:v>
      </x:c>
    </x:row>
    <x:row r="52">
      <x:c r="A52" s="59" t="str">
        <x:v>tiff/trace_net_h39a_whole_page_vision_summary_v1.py</x:v>
      </x:c>
      <x:c r="B52" s="59" t="str">
        <x:v>visual</x:v>
      </x:c>
      <x:c r="C52" s="59" t="str">
        <x:v>src/trace_net/visual/</x:v>
      </x:c>
      <x:c r="D52" s="59" t="str">
        <x:v>src/trace_net/visual/trace_net_h39a_whole_page_vision_summary_v1.py</x:v>
      </x:c>
      <x:c r="E52" s="59" t="str">
        <x:v>active library module</x:v>
      </x:c>
      <x:c r="F52" s="59" t="str">
        <x:v>MOVE_WITH_PROTECTED_COMPATIBILITY_WRAPPER</x:v>
      </x:c>
      <x:c r="G52" s="59" t="n">
        <x:v>3</x:v>
      </x:c>
      <x:c r="H52" s="59" t="str">
        <x:v>scripts/build_trace_net_h39a_whole_page_vision_summary_v1.py; scripts/check_trace_net_h39a_whole_page_vision_summary_v1.py; tests/unit/test_trace_net_h39a_whole_page_vision_summary_v1.py</x:v>
      </x:c>
      <x:c r="I52" s="59" t="str">
        <x:v>11434</x:v>
      </x:c>
      <x:c r="J52" s="59" t="str">
        <x:v>TRACE_NET_H39A_WHOLE_PAGE_VISION_SUMMARY_BUILT, TRACE_NET_H39A_WHOLE_PAGE_VISION_SUMMARY_CHECKED, TRACE_NET_OLLAMA_URL, TRACE_NET_VISION_MODEL</x:v>
      </x:c>
      <x:c r="K52" s="59" t="str">
        <x:v>Update imports and retain the old tiff module as a wrapper when callers exist.</x:v>
      </x:c>
      <x:c r="L52" s="59" t="str">
        <x:v>https://github.com/jwild2027/heico-ai-internship-summer-2026/blob/srv/tiff/trace_net_h39a_whole_page_vision_summary_v1.py</x:v>
      </x:c>
    </x:row>
    <x:row r="53">
      <x:c r="A53" s="59" t="str">
        <x:v>tiff/trace_net_image_route_openwebui_endpoint_v1.py</x:v>
      </x:c>
      <x:c r="B53" s="59" t="str">
        <x:v>serving</x:v>
      </x:c>
      <x:c r="C53" s="59" t="str">
        <x:v>src/trace_net/serving/</x:v>
      </x:c>
      <x:c r="D53" s="59" t="str">
        <x:v>src/trace_net/serving/trace_net_image_route_openwebui_endpoint_v1.py</x:v>
      </x:c>
      <x:c r="E53" s="59" t="str">
        <x:v>serving/runtime module</x:v>
      </x:c>
      <x:c r="F53" s="59" t="str">
        <x:v>MOVE_WITH_PROTECTED_COMPATIBILITY_WRAPPER</x:v>
      </x:c>
      <x:c r="G53" s="59" t="n">
        <x:v>9</x:v>
      </x:c>
      <x:c r="H53" s="59" t="str">
        <x:v>scripts/build_trace_net_image_route_openwebui_endpoint_smoke_v1.py; scripts/check_trace_net_image_route_openwebui_endpoint_smoke_v1.py; scripts/serve_trace_net_image_route_openwebui_endpoint_v1.py; tests/unit/test_trace_net_image_route_endpoint_consolidated_v1.py; tests/unit/test_trace_net_image_route_endpoint_direct_fallback_v1.py; tests/unit/test_trace_net_image_route_endpoint_direct_smoke_hardening_v1.py; tests/unit/test_trace_net_image_route_endpoint_final_v1.py; tests/unit/test_trace_net_image_route_endpoint_runner_report_fix_v1.py; tests/unit/test_trace_net_image_route_openwebui_endpoint_v1.py</x:v>
      </x:c>
      <x:c r="I53" s="59" t="str">
        <x:v>8031</x:v>
      </x:c>
      <x:c r="J53" s="59" t="str">
        <x:v>TRACE_NET_FAST_CHAT_RUNNER_BUILT, TRACE_NET_IMAGE_ROUTE_FAST_CHAT_ADAPTER_BUILT, TRACE_NET_IMAGE_ROUTE_MULTI_ROUTE_QUALITY_GATE_CHECKED, TRACE_NET_IMAGE_ROUTE_OPENWEBUI_ENDPOINT_RUNNER_RESULT, TRACE_NET_IMAGE_ROUTE_OPENWEBUI_ENDPOINT_SMOKE_BUILT, TRACE_NET_IMAGE_ROUTE_OPENWEBUI_ENDPOINT_SMOKE_CHECKED, TRACE_NET_IMAGE_ROUTE_OPENWEBUI_ENDPOINT_V1_SERVING</x:v>
      </x:c>
      <x:c r="K53" s="59" t="str">
        <x:v>Old entrypoint must remain callable; verify relevant ports and OpenWebUI behavior.</x:v>
      </x:c>
      <x:c r="L53" s="59" t="str">
        <x:v>https://github.com/jwild2027/heico-ai-internship-summer-2026/blob/srv/tiff/trace_net_image_route_openwebui_endpoint_v1.py</x:v>
      </x:c>
    </x:row>
    <x:row r="54">
      <x:c r="A54" s="59" t="str">
        <x:v>tiff/trace_net_image_visual_summary_v1.py</x:v>
      </x:c>
      <x:c r="B54" s="59" t="str">
        <x:v>visual</x:v>
      </x:c>
      <x:c r="C54" s="59" t="str">
        <x:v>src/trace_net/visual/</x:v>
      </x:c>
      <x:c r="D54" s="59" t="str">
        <x:v>src/trace_net/visual/trace_net_image_visual_summary_v1.py</x:v>
      </x:c>
      <x:c r="E54" s="59" t="str">
        <x:v>active library module</x:v>
      </x:c>
      <x:c r="F54" s="59" t="str">
        <x:v>MOVE_WITH_PROTECTED_COMPATIBILITY_WRAPPER</x:v>
      </x:c>
      <x:c r="G54" s="59" t="n">
        <x:v>10</x:v>
      </x:c>
      <x:c r="H54" s="59" t="str">
        <x:v>scripts/build_trace_net_image_visual_summary_v1.py; scripts/check_trace_net_image_visual_summary_v1_quality.py; tests/unit/test_trace_net_image_visual_summary_v1.py; tests/unit/test_trace_net_image_visual_summary_v1_copy_signature_fix.py; tests/unit/test_trace_net_image_visual_summary_v1_observation_cleanup.py; tests/unit/test_trace_net_image_visual_summary_v1_ocr_join_fix.py; tests/unit/test_trace_net_image_visual_summary_v1_quality.py; tests/unit/test_trace_net_image_visual_summary_v1_semantic_signature_fix.py; tests/unit/test_trace_net_image_visual_summary_v1_semantic_validator.py; tests/unit/test_trace_net_image_visual_summary_v1_source_resolver.py</x:v>
      </x:c>
      <x:c r="I54" s="59" t="str">
        <x:v>11434</x:v>
      </x:c>
      <x:c r="J54" s="59" t="str">
        <x:v>TRACE_NET_IMAGE_VISUAL_SUMMARY_BUILT</x:v>
      </x:c>
      <x:c r="K54" s="59" t="str">
        <x:v>Update imports and retain the old tiff module as a wrapper when callers exist.</x:v>
      </x:c>
      <x:c r="L54" s="59" t="str">
        <x:v>https://github.com/jwild2027/heico-ai-internship-summer-2026/blob/srv/tiff/trace_net_image_visual_summary_v1.py</x:v>
      </x:c>
    </x:row>
    <x:row r="55">
      <x:c r="A55" s="59" t="str">
        <x:v>tiff/trace_net_llava_visual_summary_batch_v1.py</x:v>
      </x:c>
      <x:c r="B55" s="59" t="str">
        <x:v>visual</x:v>
      </x:c>
      <x:c r="C55" s="59" t="str">
        <x:v>src/trace_net/visual/</x:v>
      </x:c>
      <x:c r="D55" s="59" t="str">
        <x:v>src/trace_net/visual/trace_net_llava_visual_summary_batch_v1.py</x:v>
      </x:c>
      <x:c r="E55" s="59" t="str">
        <x:v>active library module</x:v>
      </x:c>
      <x:c r="F55" s="59" t="str">
        <x:v>MOVE_WITH_PROTECTED_COMPATIBILITY_WRAPPER</x:v>
      </x:c>
      <x:c r="G55" s="59" t="n">
        <x:v>2</x:v>
      </x:c>
      <x:c r="H55" s="59" t="str">
        <x:v>scripts/build_trace_net_llava_visual_summary_batch_v1.py; tests/unit/test_trace_net_llava_visual_summary_batch_and_linker_v1.py</x:v>
      </x:c>
      <x:c r="I55" s="59" t="str">
        <x:v>11434</x:v>
      </x:c>
      <x:c r="J55" s="59" t="str">
        <x:v>TRACE_NET_LLAVA_VISUAL_SUMMARY_BATCH_BUILT</x:v>
      </x:c>
      <x:c r="K55" s="59" t="str">
        <x:v>Update imports and retain the old tiff module as a wrapper when callers exist.</x:v>
      </x:c>
      <x:c r="L55" s="59" t="str">
        <x:v>https://github.com/jwild2027/heico-ai-internship-summer-2026/blob/srv/tiff/trace_net_llava_visual_summary_batch_v1.py</x:v>
      </x:c>
    </x:row>
    <x:row r="56">
      <x:c r="A56" s="59" t="str">
        <x:v>tiff/trace_net_llm_graph_path_compliance_judge_v1.py</x:v>
      </x:c>
      <x:c r="B56" s="59" t="str">
        <x:v>validation</x:v>
      </x:c>
      <x:c r="C56" s="59" t="str">
        <x:v>src/trace_net/validation/</x:v>
      </x:c>
      <x:c r="D56" s="59" t="str">
        <x:v>src/trace_net/validation/trace_net_llm_graph_path_compliance_judge_v1.py</x:v>
      </x:c>
      <x:c r="E56" s="59" t="str">
        <x:v>runtime validation/gating module</x:v>
      </x:c>
      <x:c r="F56" s="59" t="str">
        <x:v>MOVE_WITH_IMPORT_UPDATES_AND_COMPATIBILITY_WRAPPER</x:v>
      </x:c>
      <x:c r="G56" s="59" t="n">
        <x:v>4</x:v>
      </x:c>
      <x:c r="H56" s="59" t="str">
        <x:v>scripts/build_trace_net_llm_graph_path_compliance_judge_v1.py; scripts/check_trace_net_llm_graph_path_compliance_judge_v1_quality.py; tests/unit/test_trace_net_llm_graph_path_compliance_judge_v1.py; tests/unit/test_trace_net_llm_graph_path_compliance_judge_v1_quality.py</x:v>
      </x:c>
      <x:c r="I56" s="59" t="str">
        <x:v>8192, 11434</x:v>
      </x:c>
      <x:c r="J56" s="59" t="str"/>
      <x:c r="K56" s="59" t="str">
        <x:v>Preserve gating semantics and old import path until focused tests pass.</x:v>
      </x:c>
      <x:c r="L56" s="59" t="str">
        <x:v>https://github.com/jwild2027/heico-ai-internship-summer-2026/blob/srv/tiff/trace_net_llm_graph_path_compliance_judge_v1.py</x:v>
      </x:c>
    </x:row>
    <x:row r="57">
      <x:c r="A57" s="59" t="str">
        <x:v>tiff/trace_net_llm_graph_path_response_guard_v1.py</x:v>
      </x:c>
      <x:c r="B57" s="59" t="str">
        <x:v>validation</x:v>
      </x:c>
      <x:c r="C57" s="59" t="str">
        <x:v>src/trace_net/validation/</x:v>
      </x:c>
      <x:c r="D57" s="59" t="str">
        <x:v>src/trace_net/validation/trace_net_llm_graph_path_response_guard_v1.py</x:v>
      </x:c>
      <x:c r="E57" s="59" t="str">
        <x:v>runtime validation/gating module</x:v>
      </x:c>
      <x:c r="F57" s="59" t="str">
        <x:v>MOVE_WITH_IMPORT_UPDATES_AND_COMPATIBILITY_WRAPPER</x:v>
      </x:c>
      <x:c r="G57" s="59" t="n">
        <x:v>4</x:v>
      </x:c>
      <x:c r="H57" s="59" t="str">
        <x:v>scripts/build_trace_net_llm_graph_path_response_guard_v1.py; scripts/check_trace_net_llm_graph_path_response_guard_v1_quality.py; tests/unit/test_trace_net_llm_graph_path_response_guard_v1.py; tests/unit/test_trace_net_llm_graph_path_response_guard_v1_quality.py</x:v>
      </x:c>
      <x:c r="I57" s="59" t="str">
        <x:v>11434</x:v>
      </x:c>
      <x:c r="J57" s="59" t="str"/>
      <x:c r="K57" s="59" t="str">
        <x:v>Preserve gating semantics and old import path until focused tests pass.</x:v>
      </x:c>
      <x:c r="L57" s="59" t="str">
        <x:v>https://github.com/jwild2027/heico-ai-internship-summer-2026/blob/srv/tiff/trace_net_llm_graph_path_response_guard_v1.py</x:v>
      </x:c>
    </x:row>
    <x:row r="58">
      <x:c r="A58" s="59" t="str">
        <x:v>tiff/trace_net_openwebui_gemma4_engram_bridge_v1.py</x:v>
      </x:c>
      <x:c r="B58" s="59" t="str">
        <x:v>serving</x:v>
      </x:c>
      <x:c r="C58" s="59" t="str">
        <x:v>src/trace_net/serving/</x:v>
      </x:c>
      <x:c r="D58" s="59" t="str">
        <x:v>src/trace_net/serving/trace_net_openwebui_gemma4_engram_bridge_v1.py</x:v>
      </x:c>
      <x:c r="E58" s="59" t="str">
        <x:v>serving/runtime module</x:v>
      </x:c>
      <x:c r="F58" s="59" t="str">
        <x:v>MOVE_WITH_PROTECTED_COMPATIBILITY_WRAPPER</x:v>
      </x:c>
      <x:c r="G58" s="59" t="n">
        <x:v>3</x:v>
      </x:c>
      <x:c r="H58" s="59" t="str">
        <x:v>scripts/serve_trace_net_openwebui_gemma4_engram_bridge_v1.py; tests/unit/test_trace_net_openwebui_gemma4_engram_bridge_v1.py; tests/unit/test_trace_net_openwebui_gemma4_engram_bridge_v2.py</x:v>
      </x:c>
      <x:c r="I58" s="59" t="str">
        <x:v>8020, 8192, 11434</x:v>
      </x:c>
      <x:c r="J58" s="59" t="str">
        <x:v>TRACE_NET_OPENWEBUI_GEMMA4_ENGRAM_BRIDGE_STARTED</x:v>
      </x:c>
      <x:c r="K58" s="59" t="str">
        <x:v>Old entrypoint must remain callable; verify relevant ports and OpenWebUI behavior.</x:v>
      </x:c>
      <x:c r="L58" s="59" t="str">
        <x:v>https://github.com/jwild2027/heico-ai-internship-summer-2026/blob/srv/tiff/trace_net_openwebui_gemma4_engram_bridge_v1.py</x:v>
      </x:c>
    </x:row>
    <x:row r="59">
      <x:c r="A59" s="59" t="str">
        <x:v>tiff/trace_net_openwebui_gemma4_engram_bridge_v2.py</x:v>
      </x:c>
      <x:c r="B59" s="59" t="str">
        <x:v>serving</x:v>
      </x:c>
      <x:c r="C59" s="59" t="str">
        <x:v>src/trace_net/serving/</x:v>
      </x:c>
      <x:c r="D59" s="59" t="str">
        <x:v>src/trace_net/serving/trace_net_openwebui_gemma4_engram_bridge_v2.py</x:v>
      </x:c>
      <x:c r="E59" s="59" t="str">
        <x:v>serving/runtime module</x:v>
      </x:c>
      <x:c r="F59" s="59" t="str">
        <x:v>MOVE_WITH_PROTECTED_COMPATIBILITY_WRAPPER</x:v>
      </x:c>
      <x:c r="G59" s="59" t="n">
        <x:v>2</x:v>
      </x:c>
      <x:c r="H59" s="59" t="str">
        <x:v>scripts/serve_trace_net_openwebui_gemma4_engram_bridge_v2.py; tests/unit/test_trace_net_openwebui_gemma4_engram_bridge_v2.py</x:v>
      </x:c>
      <x:c r="I59" s="59" t="str">
        <x:v>8021, 11434</x:v>
      </x:c>
      <x:c r="J59" s="59" t="str">
        <x:v>TRACE_NET_OPENWEBUI_GEMMA4_ENGRAM_BRIDGE_V2_STARTED</x:v>
      </x:c>
      <x:c r="K59" s="59" t="str">
        <x:v>Old entrypoint must remain callable; verify relevant ports and OpenWebUI behavior.</x:v>
      </x:c>
      <x:c r="L59" s="59" t="str">
        <x:v>https://github.com/jwild2027/heico-ai-internship-summer-2026/blob/srv/tiff/trace_net_openwebui_gemma4_engram_bridge_v2.py</x:v>
      </x:c>
    </x:row>
    <x:row r="60">
      <x:c r="A60" s="59" t="str">
        <x:v>tiff/trace_net_openwebui_page_context_bridge_v1.py</x:v>
      </x:c>
      <x:c r="B60" s="59" t="str">
        <x:v>serving</x:v>
      </x:c>
      <x:c r="C60" s="59" t="str">
        <x:v>src/trace_net/serving/</x:v>
      </x:c>
      <x:c r="D60" s="59" t="str">
        <x:v>src/trace_net/serving/trace_net_openwebui_page_context_bridge_v1.py</x:v>
      </x:c>
      <x:c r="E60" s="59" t="str">
        <x:v>serving/runtime module</x:v>
      </x:c>
      <x:c r="F60" s="59" t="str">
        <x:v>MOVE_WITH_PROTECTED_COMPATIBILITY_WRAPPER</x:v>
      </x:c>
      <x:c r="G60" s="59" t="n">
        <x:v>3</x:v>
      </x:c>
      <x:c r="H60" s="59" t="str">
        <x:v>scripts/build_trace_net_openwebui_page_context_bridge_v1.py; scripts/serve_trace_net_openwebui_page_context_bridge_v1.py; tests/unit/test_trace_net_openwebui_page_context_bridge_v1.py; docs/trace_net_canonical_runtime_map_v1_README.md; tests/unit/test_trace_net_canonical_runtime_map_v1.py; tiff/trace_net_canonical_runtime_map_v1.py</x:v>
      </x:c>
      <x:c r="I60" s="59" t="str">
        <x:v>8022, 8023, 8192, 11434</x:v>
      </x:c>
      <x:c r="J60" s="59" t="str"/>
      <x:c r="K60" s="59" t="str">
        <x:v>Old entrypoint must remain callable; verify relevant ports and OpenWebUI behavior.</x:v>
      </x:c>
      <x:c r="L60" s="59" t="str">
        <x:v>https://github.com/jwild2027/heico-ai-internship-summer-2026/blob/srv/tiff/trace_net_openwebui_page_context_bridge_v1.py</x:v>
      </x:c>
    </x:row>
    <x:row r="61">
      <x:c r="A61" s="59" t="str">
        <x:v>tiff/trace_net_page_context_v2.py</x:v>
      </x:c>
      <x:c r="B61" s="59" t="str">
        <x:v>context</x:v>
      </x:c>
      <x:c r="C61" s="59" t="str">
        <x:v>src/trace_net/context/</x:v>
      </x:c>
      <x:c r="D61" s="59" t="str">
        <x:v>src/trace_net/context/trace_net_page_context_v2.py</x:v>
      </x:c>
      <x:c r="E61" s="59" t="str">
        <x:v>active library module</x:v>
      </x:c>
      <x:c r="F61" s="59" t="str">
        <x:v>MOVE_WITH_PROTECTED_COMPATIBILITY_WRAPPER</x:v>
      </x:c>
      <x:c r="G61" s="59" t="n">
        <x:v>6</x:v>
      </x:c>
      <x:c r="H61" s="59" t="str">
        <x:v>scripts/generate_trace_net_page_context_v2.py; tests/unit/test_tiff_trace_net_page_context_v2.py; tests/unit/test_trace_net_v2_gemma_summary_sample_runner_v1.py; tiff/trace_net_v2_gemma_summary_sample_runner_v1.py; tiff/trace_net_v2_sample_runner_simple_v1.py; tiff/trace_net_v2_summary_smoke_tester_v1.py; docs/trace_net_v2_summary_smoke_tester_v1_README.md</x:v>
      </x:c>
      <x:c r="I61" s="59" t="str">
        <x:v>11434</x:v>
      </x:c>
      <x:c r="J61" s="59" t="str">
        <x:v>TRACE_NET_DATABASE_URL</x:v>
      </x:c>
      <x:c r="K61" s="59" t="str">
        <x:v>Update imports and retain the old tiff module as a wrapper when callers exist.</x:v>
      </x:c>
      <x:c r="L61" s="59" t="str">
        <x:v>https://github.com/jwild2027/heico-ai-internship-summer-2026/blob/srv/tiff/trace_net_page_context_v2.py</x:v>
      </x:c>
    </x:row>
    <x:row r="62">
      <x:c r="A62" s="59" t="str">
        <x:v>tiff/trace_net_page_query_response_tiff_content_audit_v1.py</x:v>
      </x:c>
      <x:c r="B62" s="59" t="str">
        <x:v>retrieval</x:v>
      </x:c>
      <x:c r="C62" s="59" t="str">
        <x:v>src/trace_net/retrieval/</x:v>
      </x:c>
      <x:c r="D62" s="59" t="str">
        <x:v>src/trace_net/retrieval/trace_net_page_query_response_tiff_content_audit_v1.py</x:v>
      </x:c>
      <x:c r="E62" s="59" t="str">
        <x:v>active library module</x:v>
      </x:c>
      <x:c r="F62" s="59" t="str">
        <x:v>MOVE_WITH_PROTECTED_COMPATIBILITY_WRAPPER</x:v>
      </x:c>
      <x:c r="G62" s="59" t="n">
        <x:v>4</x:v>
      </x:c>
      <x:c r="H62" s="59" t="str">
        <x:v>scripts/build_trace_net_page_query_response_tiff_content_audit_v1.py; scripts/check_trace_net_page_query_response_tiff_content_audit_v1_quality.py; tests/unit/test_trace_net_page_query_response_tiff_content_audit_v1.py; tests/unit/test_trace_net_page_query_response_tiff_content_audit_v1_quality.py</x:v>
      </x:c>
      <x:c r="I62" s="59" t="str">
        <x:v>11434</x:v>
      </x:c>
      <x:c r="J62" s="59" t="str">
        <x:v>TRACE_NET_RESPONSE_TO_CHECK</x:v>
      </x:c>
      <x:c r="K62" s="59" t="str">
        <x:v>Update imports and retain the old tiff module as a wrapper when callers exist.</x:v>
      </x:c>
      <x:c r="L62" s="59" t="str">
        <x:v>https://github.com/jwild2027/heico-ai-internship-summer-2026/blob/srv/tiff/trace_net_page_query_response_tiff_content_audit_v1.py</x:v>
      </x:c>
    </x:row>
    <x:row r="63">
      <x:c r="A63" s="59" t="str">
        <x:v>tiff/trace_net_page_retrieval_large_eval_v1.py</x:v>
      </x:c>
      <x:c r="B63" s="59" t="str">
        <x:v>retrieval</x:v>
      </x:c>
      <x:c r="C63" s="59" t="str">
        <x:v>src/trace_net/retrieval/</x:v>
      </x:c>
      <x:c r="D63" s="59" t="str">
        <x:v>src/trace_net/retrieval/trace_net_page_retrieval_large_eval_v1.py</x:v>
      </x:c>
      <x:c r="E63" s="59" t="str">
        <x:v>active library module</x:v>
      </x:c>
      <x:c r="F63" s="59" t="str">
        <x:v>MOVE_WITH_PROTECTED_COMPATIBILITY_WRAPPER</x:v>
      </x:c>
      <x:c r="G63" s="59" t="n">
        <x:v>4</x:v>
      </x:c>
      <x:c r="H63" s="59" t="str">
        <x:v>scripts/build_trace_net_page_retrieval_large_eval_v1.py; scripts/check_trace_net_page_retrieval_large_eval_v1_quality.py; tests/unit/test_trace_net_page_retrieval_large_eval_v1.py; tests/unit/test_trace_net_page_retrieval_large_eval_v1_quality.py</x:v>
      </x:c>
      <x:c r="I63" s="59" t="str">
        <x:v>11434</x:v>
      </x:c>
      <x:c r="J63" s="59" t="str"/>
      <x:c r="K63" s="59" t="str">
        <x:v>Update imports and retain the old tiff module as a wrapper when callers exist.</x:v>
      </x:c>
      <x:c r="L63" s="59" t="str">
        <x:v>https://github.com/jwild2027/heico-ai-internship-summer-2026/blob/srv/tiff/trace_net_page_retrieval_large_eval_v1.py</x:v>
      </x:c>
    </x:row>
    <x:row r="64">
      <x:c r="A64" s="59" t="str">
        <x:v>tiff/trace_net_page_retrieval_large_eval_v2.py</x:v>
      </x:c>
      <x:c r="B64" s="59" t="str">
        <x:v>retrieval</x:v>
      </x:c>
      <x:c r="C64" s="59" t="str">
        <x:v>src/trace_net/retrieval/</x:v>
      </x:c>
      <x:c r="D64" s="59" t="str">
        <x:v>src/trace_net/retrieval/trace_net_page_retrieval_large_eval_v2.py</x:v>
      </x:c>
      <x:c r="E64" s="59" t="str">
        <x:v>active library module</x:v>
      </x:c>
      <x:c r="F64" s="59" t="str">
        <x:v>MOVE_WITH_PROTECTED_COMPATIBILITY_WRAPPER</x:v>
      </x:c>
      <x:c r="G64" s="59" t="n">
        <x:v>4</x:v>
      </x:c>
      <x:c r="H64" s="59" t="str">
        <x:v>scripts/build_trace_net_page_retrieval_large_eval_v2.py; scripts/check_trace_net_page_retrieval_large_eval_v2_quality.py; tests/unit/test_trace_net_page_retrieval_large_eval_v2.py; tests/unit/test_trace_net_page_retrieval_large_eval_v2_quality.py</x:v>
      </x:c>
      <x:c r="I64" s="59" t="str">
        <x:v>11434</x:v>
      </x:c>
      <x:c r="J64" s="59" t="str"/>
      <x:c r="K64" s="59" t="str">
        <x:v>Update imports and retain the old tiff module as a wrapper when callers exist.</x:v>
      </x:c>
      <x:c r="L64" s="59" t="str">
        <x:v>https://github.com/jwild2027/heico-ai-internship-summer-2026/blob/srv/tiff/trace_net_page_retrieval_large_eval_v2.py</x:v>
      </x:c>
    </x:row>
    <x:row r="65">
      <x:c r="A65" s="59" t="str">
        <x:v>tiff/trace_net_page_retrieval_profiles_v1.py</x:v>
      </x:c>
      <x:c r="B65" s="59" t="str">
        <x:v>retrieval</x:v>
      </x:c>
      <x:c r="C65" s="59" t="str">
        <x:v>src/trace_net/retrieval/</x:v>
      </x:c>
      <x:c r="D65" s="59" t="str">
        <x:v>src/trace_net/retrieval/trace_net_page_retrieval_profiles_v1.py</x:v>
      </x:c>
      <x:c r="E65" s="59" t="str">
        <x:v>active library module</x:v>
      </x:c>
      <x:c r="F65" s="59" t="str">
        <x:v>MOVE_WITH_PROTECTED_COMPATIBILITY_WRAPPER</x:v>
      </x:c>
      <x:c r="G65" s="59" t="n">
        <x:v>6</x:v>
      </x:c>
      <x:c r="H65" s="59" t="str">
        <x:v>scripts/build_trace_net_page_retrieval_profiles_v1.py; scripts/check_trace_net_page_retrieval_profiles_qdrant_v1_quality.py; scripts/check_trace_net_page_retrieval_profiles_v1_quality.py; scripts/load_trace_net_page_retrieval_profiles_qdrant_v1.py; tests/unit/test_trace_net_page_retrieval_profiles_qdrant_v1_quality.py; tests/unit/test_trace_net_page_retrieval_profiles_v1.py</x:v>
      </x:c>
      <x:c r="I65" s="59" t="str">
        <x:v>11434</x:v>
      </x:c>
      <x:c r="J65" s="59" t="str">
        <x:v>TRACE_NET_DATABASE_URL, TRACE_NET_EMBEDDING_DEVICE, TRACE_NET_EMBEDDING_DIM, TRACE_NET_EMBEDDING_MODEL, TRACE_NET_OLLAMA_EMBED_ENDPOINT, TRACE_NET_OLLAMA_TIMEOUT, TRACE_NET_OLLAMA_URL</x:v>
      </x:c>
      <x:c r="K65" s="59" t="str">
        <x:v>Update imports and retain the old tiff module as a wrapper when callers exist.</x:v>
      </x:c>
      <x:c r="L65" s="59" t="str">
        <x:v>https://github.com/jwild2027/heico-ai-internship-summer-2026/blob/srv/tiff/trace_net_page_retrieval_profiles_v1.py</x:v>
      </x:c>
    </x:row>
    <x:row r="66">
      <x:c r="A66" s="59" t="str">
        <x:v>tiff/trace_net_qdrant_loader_v1.py</x:v>
      </x:c>
      <x:c r="B66" s="59" t="str">
        <x:v>embeddings</x:v>
      </x:c>
      <x:c r="C66" s="59" t="str">
        <x:v>src/trace_net/embeddings/</x:v>
      </x:c>
      <x:c r="D66" s="59" t="str">
        <x:v>src/trace_net/embeddings/trace_net_qdrant_loader_v1.py</x:v>
      </x:c>
      <x:c r="E66" s="59" t="str">
        <x:v>data/storage integration module</x:v>
      </x:c>
      <x:c r="F66" s="59" t="str">
        <x:v>MOVE_WITH_IMPORT_UPDATES_AND_COMPATIBILITY_WRAPPER</x:v>
      </x:c>
      <x:c r="G66" s="59" t="n">
        <x:v>5</x:v>
      </x:c>
      <x:c r="H66" s="59" t="str">
        <x:v>scripts/check_trace_net_qdrant_loader_v1_quality.py; scripts/load_trace_net_qdrant_embeddings_v1.py; tests/unit/test_trace_net_qdrant_loader_v1.py; tests/unit/test_trace_net_qdrant_loader_v1_quality.py; tiff/trace_net_hybrid_retrieval_sim_v1.py</x:v>
      </x:c>
      <x:c r="I66" s="59" t="str">
        <x:v>11434</x:v>
      </x:c>
      <x:c r="J66" s="59" t="str">
        <x:v>TRACE_NET_EMBEDDING_DEVICE, TRACE_NET_EMBEDDING_DIM, TRACE_NET_EMBEDDING_MODEL, TRACE_NET_OLLAMA_EMBED_ENDPOINT, TRACE_NET_OLLAMA_TIMEOUT, TRACE_NET_OLLAMA_URL, TRACE_NET_QDRANT_COLLECTION</x:v>
      </x:c>
      <x:c r="K66" s="59" t="str">
        <x:v>Preserve lineage, dry-run defaults, and source-truth mutation gates.</x:v>
      </x:c>
      <x:c r="L66" s="59" t="str">
        <x:v>https://github.com/jwild2027/heico-ai-internship-summer-2026/blob/srv/tiff/trace_net_qdrant_loader_v1.py</x:v>
      </x:c>
    </x:row>
    <x:row r="67">
      <x:c r="A67" s="59" t="str">
        <x:v>tiff/trace_net_raw_to_answer_context_engineered_native_v1.py</x:v>
      </x:c>
      <x:c r="B67" s="59" t="str">
        <x:v>validation</x:v>
      </x:c>
      <x:c r="C67" s="59" t="str">
        <x:v>src/trace_net/validation/</x:v>
      </x:c>
      <x:c r="D67" s="59" t="str">
        <x:v>src/trace_net/validation/trace_net_raw_to_answer_context_engineered_native_v1.py</x:v>
      </x:c>
      <x:c r="E67" s="59" t="str">
        <x:v>active library module</x:v>
      </x:c>
      <x:c r="F67" s="59" t="str">
        <x:v>MOVE_WITH_PROTECTED_COMPATIBILITY_WRAPPER</x:v>
      </x:c>
      <x:c r="G67" s="59" t="n">
        <x:v>3</x:v>
      </x:c>
      <x:c r="H67" s="59" t="str">
        <x:v>scripts/check_trace_net_raw_to_answer_context_engineered_native_v1_quality.py; scripts/run_trace_net_raw_to_answer_context_engineered_native_v1.py; tests/unit/test_trace_net_raw_to_answer_context_engineered_native_v1_quality.py</x:v>
      </x:c>
      <x:c r="I67" s="59" t="str">
        <x:v>11434</x:v>
      </x:c>
      <x:c r="J67" s="59" t="str">
        <x:v>TRACE_NET_RAW_TO_ANSWER_CONTEXT_ENGINEERED_NATIVE_BUILT</x:v>
      </x:c>
      <x:c r="K67" s="59" t="str">
        <x:v>Update imports and retain the old tiff module as a wrapper when callers exist.</x:v>
      </x:c>
      <x:c r="L67" s="59" t="str">
        <x:v>https://github.com/jwild2027/heico-ai-internship-summer-2026/blob/srv/tiff/trace_net_raw_to_answer_context_engineered_native_v1.py</x:v>
      </x:c>
    </x:row>
    <x:row r="68">
      <x:c r="A68" s="59" t="str">
        <x:v>tiff/trace_net_raw_to_answer_e2e_smoke_native_v1.py</x:v>
      </x:c>
      <x:c r="B68" s="59" t="str">
        <x:v>validation</x:v>
      </x:c>
      <x:c r="C68" s="59" t="str">
        <x:v>src/trace_net/validation/</x:v>
      </x:c>
      <x:c r="D68" s="59" t="str">
        <x:v>src/trace_net/validation/trace_net_raw_to_answer_e2e_smoke_native_v1.py</x:v>
      </x:c>
      <x:c r="E68" s="59" t="str">
        <x:v>active library module</x:v>
      </x:c>
      <x:c r="F68" s="59" t="str">
        <x:v>MOVE_WITH_PROTECTED_COMPATIBILITY_WRAPPER</x:v>
      </x:c>
      <x:c r="G68" s="59" t="n">
        <x:v>3</x:v>
      </x:c>
      <x:c r="H68" s="59" t="str">
        <x:v>scripts/check_trace_net_raw_to_answer_e2e_smoke_native_v1_quality.py; scripts/run_trace_net_raw_to_answer_e2e_smoke_native_v1.py; tiff/trace_net_raw_to_answer_context_engineered_native_v1.py</x:v>
      </x:c>
      <x:c r="I68" s="59" t="str">
        <x:v>11434</x:v>
      </x:c>
      <x:c r="J68" s="59" t="str">
        <x:v>TRACE_NET_RAW_TO_ANSWER_E2E_SMOKE_NATIVE_BUILT</x:v>
      </x:c>
      <x:c r="K68" s="59" t="str">
        <x:v>Update imports and retain the old tiff module as a wrapper when callers exist.</x:v>
      </x:c>
      <x:c r="L68" s="59" t="str">
        <x:v>https://github.com/jwild2027/heico-ai-internship-summer-2026/blob/srv/tiff/trace_net_raw_to_answer_e2e_smoke_native_v1.py</x:v>
      </x:c>
    </x:row>
    <x:row r="69">
      <x:c r="A69" s="59" t="str">
        <x:v>tiff/trace_net_raw_to_answer_e2e_smoke_v1.py</x:v>
      </x:c>
      <x:c r="B69" s="59" t="str">
        <x:v>validation</x:v>
      </x:c>
      <x:c r="C69" s="59" t="str">
        <x:v>src/trace_net/validation/</x:v>
      </x:c>
      <x:c r="D69" s="59" t="str">
        <x:v>src/trace_net/validation/trace_net_raw_to_answer_e2e_smoke_v1.py</x:v>
      </x:c>
      <x:c r="E69" s="59" t="str">
        <x:v>active library module</x:v>
      </x:c>
      <x:c r="F69" s="59" t="str">
        <x:v>MOVE_WITH_PROTECTED_COMPATIBILITY_WRAPPER</x:v>
      </x:c>
      <x:c r="G69" s="59" t="n">
        <x:v>5</x:v>
      </x:c>
      <x:c r="H69" s="59" t="str">
        <x:v>scripts/check_trace_net_raw_to_answer_e2e_smoke_v1_quality.py; scripts/run_trace_net_executive_tiff_demo_v4.py; scripts/run_trace_net_raw_to_answer_e2e_smoke_v1.py; tests/unit/test_trace_net_raw_to_answer_e2e_smoke_v1.py; tests/unit/test_trace_net_raw_to_answer_e2e_smoke_v1_quality.py</x:v>
      </x:c>
      <x:c r="I69" s="59" t="str">
        <x:v>11434</x:v>
      </x:c>
      <x:c r="J69" s="59" t="str">
        <x:v>TRACE_NET_RAW_TO_ANSWER_E2E_SMOKE_BUILT, TRACE_NET_RAW_TO_ANSWER_E2E_SMOKE_ERROR</x:v>
      </x:c>
      <x:c r="K69" s="59" t="str">
        <x:v>Update imports and retain the old tiff module as a wrapper when callers exist.</x:v>
      </x:c>
      <x:c r="L69" s="59" t="str">
        <x:v>https://github.com/jwild2027/heico-ai-internship-summer-2026/blob/srv/tiff/trace_net_raw_to_answer_e2e_smoke_v1.py</x:v>
      </x:c>
    </x:row>
    <x:row r="70">
      <x:c r="A70" s="59" t="str">
        <x:v>tiff/trace_net_runtime_hybrid_v3_v22.py</x:v>
      </x:c>
      <x:c r="B70" s="59" t="str">
        <x:v>core</x:v>
      </x:c>
      <x:c r="C70" s="59" t="str">
        <x:v>src/trace_net/core/</x:v>
      </x:c>
      <x:c r="D70" s="59" t="str">
        <x:v>src/trace_net/core/trace_net_runtime_hybrid_v3_v22.py</x:v>
      </x:c>
      <x:c r="E70" s="59" t="str">
        <x:v>runtime orchestration module</x:v>
      </x:c>
      <x:c r="F70" s="59" t="str">
        <x:v>MOVE_WITH_PROTECTED_COMPATIBILITY_WRAPPER</x:v>
      </x:c>
      <x:c r="G70" s="59" t="n">
        <x:v>6</x:v>
      </x:c>
      <x:c r="H70" s="59" t="str">
        <x:v>scripts/build_trace_net_runtime_hybrid_v3_v22.py; scripts/check_trace_net_runtime_hybrid_v3_v22_quality.py; scripts/run_trace_net_runtime_hybrid_v3_v22.py; tests/unit/test_trace_net_runtime_hybrid_v3_v22.py; tests/unit/test_trace_net_runtime_hybrid_v3_v22_quality.py; tiff/trace_net_runtime_hybrid_v3_v22_quality.py</x:v>
      </x:c>
      <x:c r="I70" s="59" t="str">
        <x:v>8016</x:v>
      </x:c>
      <x:c r="J70" s="59" t="str"/>
      <x:c r="K70" s="59" t="str">
        <x:v>Preserve CLI, environment variables, and runtime chain during move.</x:v>
      </x:c>
      <x:c r="L70" s="59" t="str">
        <x:v>https://github.com/jwild2027/heico-ai-internship-summer-2026/blob/srv/tiff/trace_net_runtime_hybrid_v3_v22.py</x:v>
      </x:c>
    </x:row>
    <x:row r="71">
      <x:c r="A71" s="59" t="str">
        <x:v>tiff/trace_net_synthetic_incident_console_v1.py</x:v>
      </x:c>
      <x:c r="B71" s="59" t="str">
        <x:v>serving</x:v>
      </x:c>
      <x:c r="C71" s="59" t="str">
        <x:v>src/trace_net/serving/</x:v>
      </x:c>
      <x:c r="D71" s="59" t="str">
        <x:v>src/trace_net/serving/trace_net_synthetic_incident_console_v1.py</x:v>
      </x:c>
      <x:c r="E71" s="59" t="str">
        <x:v>serving/runtime module</x:v>
      </x:c>
      <x:c r="F71" s="59" t="str">
        <x:v>MOVE_WITH_PROTECTED_COMPATIBILITY_WRAPPER</x:v>
      </x:c>
      <x:c r="G71" s="59" t="n">
        <x:v>6</x:v>
      </x:c>
      <x:c r="H71" s="59" t="str">
        <x:v>scripts/check_trace_net_synthetic_incident_console_v1_quality.py; scripts/init_trace_net_synthetic_incident_console_postgres_v1.py; scripts/run_trace_net_synthetic_incident_console_v1.py; tests/unit/test_trace_net_synthetic_incident_console_v1.py; tests/unit/test_trace_net_synthetic_incident_console_v1_quality.py; tiff/trace_net_synthetic_incident_postgres_smoke_v1.py</x:v>
      </x:c>
      <x:c r="I71" s="59" t="str">
        <x:v>8000, 8011</x:v>
      </x:c>
      <x:c r="J71" s="59" t="str">
        <x:v>TRACE_NET_DATABASE_URL</x:v>
      </x:c>
      <x:c r="K71" s="59" t="str">
        <x:v>Old entrypoint must remain callable; verify relevant ports and OpenWebUI behavior.</x:v>
      </x:c>
      <x:c r="L71" s="59" t="str">
        <x:v>https://github.com/jwild2027/heico-ai-internship-summer-2026/blob/srv/tiff/trace_net_synthetic_incident_console_v1.py</x:v>
      </x:c>
    </x:row>
    <x:row r="72">
      <x:c r="A72" s="59" t="str">
        <x:v>tiff/trace_net_v2_gemma_summary_sample_runner_v1.py</x:v>
      </x:c>
      <x:c r="B72" s="59" t="str">
        <x:v>writing</x:v>
      </x:c>
      <x:c r="C72" s="59" t="str">
        <x:v>src/trace_net/writing/</x:v>
      </x:c>
      <x:c r="D72" s="59" t="str">
        <x:v>src/trace_net/writing/trace_net_v2_gemma_summary_sample_runner_v1.py</x:v>
      </x:c>
      <x:c r="E72" s="59" t="str">
        <x:v>active library module</x:v>
      </x:c>
      <x:c r="F72" s="59" t="str">
        <x:v>MOVE_WITH_PROTECTED_COMPATIBILITY_WRAPPER</x:v>
      </x:c>
      <x:c r="G72" s="59" t="n">
        <x:v>3</x:v>
      </x:c>
      <x:c r="H72" s="59" t="str">
        <x:v>scripts/build_trace_net_v2_gemma_summary_sample_runner_v1.py; scripts/check_trace_net_v2_gemma_summary_sample_runner_v1_quality.py; tests/unit/test_trace_net_v2_gemma_summary_sample_runner_v1.py</x:v>
      </x:c>
      <x:c r="I72" s="59" t="str">
        <x:v>11434</x:v>
      </x:c>
      <x:c r="J72" s="59" t="str">
        <x:v>TRACE_NET_V2_GEMMA_SUMMARY_SAMPLE_BUILT, TRACE_NET_V2_GEMMA_SUMMARY_SAMPLE_QUALITY_CHECKED</x:v>
      </x:c>
      <x:c r="K72" s="59" t="str">
        <x:v>Update imports and retain the old tiff module as a wrapper when callers exist.</x:v>
      </x:c>
      <x:c r="L72" s="59" t="str">
        <x:v>https://github.com/jwild2027/heico-ai-internship-summer-2026/blob/srv/tiff/trace_net_v2_gemma_summary_sample_runner_v1.py</x:v>
      </x:c>
    </x:row>
    <x:row r="73">
      <x:c r="A73" s="59" t="str">
        <x:v>tiff/trace_net_vector_search_smoke_v1.py</x:v>
      </x:c>
      <x:c r="B73" s="59" t="str">
        <x:v>retrieval</x:v>
      </x:c>
      <x:c r="C73" s="59" t="str">
        <x:v>src/trace_net/retrieval/</x:v>
      </x:c>
      <x:c r="D73" s="59" t="str">
        <x:v>src/trace_net/retrieval/trace_net_vector_search_smoke_v1.py</x:v>
      </x:c>
      <x:c r="E73" s="59" t="str">
        <x:v>active library module</x:v>
      </x:c>
      <x:c r="F73" s="59" t="str">
        <x:v>MOVE_WITH_PROTECTED_COMPATIBILITY_WRAPPER</x:v>
      </x:c>
      <x:c r="G73" s="59" t="n">
        <x:v>2</x:v>
      </x:c>
      <x:c r="H73" s="59" t="str">
        <x:v>scripts/check_trace_net_vector_search_smoke_v1_quality.py; scripts/run_trace_net_vector_search_smoke_v1.py</x:v>
      </x:c>
      <x:c r="I73" s="59" t="str">
        <x:v>11434</x:v>
      </x:c>
      <x:c r="J73" s="59" t="str">
        <x:v>TRACE_NET_EMBEDDING_DEVICE, TRACE_NET_EMBEDDING_DIM, TRACE_NET_EMBEDDING_MODE, TRACE_NET_EMBEDDING_MODEL, TRACE_NET_OLLAMA_EMBED_ENDPOINT, TRACE_NET_OLLAMA_TIMEOUT, TRACE_NET_OLLAMA_URL, TRACE_NET_PAGE_PROFILE_QDRANT_COLLECTION, TRACE_NET_QDRANT_COLLECTION</x:v>
      </x:c>
      <x:c r="K73" s="59" t="str">
        <x:v>Update imports and retain the old tiff module as a wrapper when callers exist.</x:v>
      </x:c>
      <x:c r="L73" s="59" t="str">
        <x:v>https://github.com/jwild2027/heico-ai-internship-summer-2026/blob/srv/tiff/trace_net_vector_search_smoke_v1.py</x:v>
      </x:c>
    </x:row>
    <x:row r="74">
      <x:c r="A74" s="59" t="str">
        <x:v>tiff/trace_net_vision_model_pilot_v1.py</x:v>
      </x:c>
      <x:c r="B74" s="59" t="str">
        <x:v>visual</x:v>
      </x:c>
      <x:c r="C74" s="59" t="str">
        <x:v>src/trace_net/visual/</x:v>
      </x:c>
      <x:c r="D74" s="59" t="str">
        <x:v>src/trace_net/visual/trace_net_vision_model_pilot_v1.py</x:v>
      </x:c>
      <x:c r="E74" s="59" t="str">
        <x:v>active library module</x:v>
      </x:c>
      <x:c r="F74" s="59" t="str">
        <x:v>MOVE_WITH_PROTECTED_COMPATIBILITY_WRAPPER</x:v>
      </x:c>
      <x:c r="G74" s="59" t="n">
        <x:v>4</x:v>
      </x:c>
      <x:c r="H74" s="59" t="str">
        <x:v>scripts/build_trace_net_vision_model_pilot_v1.py; scripts/check_trace_net_vision_model_pilot_v1_quality.py; tests/unit/test_trace_net_vision_model_pilot_v1.py; tests/unit/test_trace_net_vision_model_pilot_v1_quality.py</x:v>
      </x:c>
      <x:c r="I74" s="59" t="str">
        <x:v>11434</x:v>
      </x:c>
      <x:c r="J74" s="59" t="str"/>
      <x:c r="K74" s="59" t="str">
        <x:v>Update imports and retain the old tiff module as a wrapper when callers exist.</x:v>
      </x:c>
      <x:c r="L74" s="59" t="str">
        <x:v>https://github.com/jwild2027/heico-ai-internship-summer-2026/blob/srv/tiff/trace_net_vision_model_pilot_v1.py</x:v>
      </x:c>
    </x:row>
    <x:row r="75">
      <x:c r="A75" s="59" t="str">
        <x:v>tiff/user_query_tests.py</x:v>
      </x:c>
      <x:c r="B75" s="59" t="str">
        <x:v>tests/integration</x:v>
      </x:c>
      <x:c r="C75" s="59" t="str">
        <x:v>tests/integration/</x:v>
      </x:c>
      <x:c r="D75" s="59" t="str">
        <x:v>tests/integration/user_query_tests.py</x:v>
      </x:c>
      <x:c r="E75" s="59" t="str">
        <x:v>integration test</x:v>
      </x:c>
      <x:c r="F75" s="59" t="str">
        <x:v>MOVE_TO_TESTS_UPDATE_IMPORTS</x:v>
      </x:c>
      <x:c r="G75" s="59" t="n">
        <x:v>2</x:v>
      </x:c>
      <x:c r="H75" s="59" t="str">
        <x:v>scripts/run_user_query_tests.py; tests/unit/test_tiff_user_query_tests.py</x:v>
      </x:c>
      <x:c r="I75" s="59" t="str">
        <x:v>8080</x:v>
      </x:c>
      <x:c r="J75" s="59" t="str"/>
      <x:c r="K75" s="59" t="str">
        <x:v>Run the moved test and update discovery/import paths.</x:v>
      </x:c>
      <x:c r="L75" s="59" t="str">
        <x:v>https://github.com/jwild2027/heico-ai-internship-summer-2026/blob/srv/tiff/user_query_tests.py</x:v>
      </x:c>
    </x:row>
    <x:row r="76">
      <x:c r="A76" s="59" t="str">
        <x:v>tiff/visual_text_extraction.py</x:v>
      </x:c>
      <x:c r="B76" s="59" t="str">
        <x:v>visual</x:v>
      </x:c>
      <x:c r="C76" s="59" t="str">
        <x:v>src/trace_net/visual/</x:v>
      </x:c>
      <x:c r="D76" s="59" t="str">
        <x:v>src/trace_net/visual/visual_text_extraction.py</x:v>
      </x:c>
      <x:c r="E76" s="59" t="str">
        <x:v>active library module</x:v>
      </x:c>
      <x:c r="F76" s="59" t="str">
        <x:v>MOVE_WITH_PROTECTED_COMPATIBILITY_WRAPPER</x:v>
      </x:c>
      <x:c r="G76" s="59" t="n">
        <x:v>15</x:v>
      </x:c>
      <x:c r="H76" s="59" t="str">
        <x:v>scripts/refresh_visual_text_extraction_summary.py; scripts/run_visual_text_extraction.py; tests/unit/test_tiff_visual_text_extraction.py; tests/unit/test_tiff_visual_text_fishnet_layers.py; tests/unit/test_tiff_visual_text_metadata_leakage.py; tests/unit/test_tiff_visual_text_ollama_model_selection.py; tests/unit/test_tiff_visual_text_progress.py; tests/unit/test_tiff_visual_text_refresh_summary.py; tests/unit/test_tiff_visual_text_retry_errors.py; tests/unit/test_tiff_visual_text_strict_v2.py; … +5 more</x:v>
      </x:c>
      <x:c r="I76" s="59" t="str">
        <x:v>11434</x:v>
      </x:c>
      <x:c r="J76" s="59" t="str"/>
      <x:c r="K76" s="59" t="str">
        <x:v>Update imports and retain the old tiff module as a wrapper when callers exist.</x:v>
      </x:c>
      <x:c r="L76" s="59" t="str">
        <x:v>https://github.com/jwild2027/heico-ai-internship-summer-2026/blob/srv/tiff/visual_text_extraction.py</x:v>
      </x:c>
    </x:row>
  </x:sheetData>
  <x:pageMargins left="0.7" right="0.7" top="0.75" bottom="0.75" header="0.3" footer="0.3"/>
  <x:tableParts count="1">
    <x:tablePart xmlns:r="http://schemas.openxmlformats.org/officeDocument/2006/relationships" r:id="Re1a860c6648c4f1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48" hidden="0" customWidth="1"/>
    <x:col min="3" max="3" width="48" hidden="0" customWidth="1"/>
    <x:col min="4" max="4" width="15" hidden="0" customWidth="1"/>
    <x:col min="5" max="5" width="72" hidden="0" customWidth="1"/>
    <x:col min="6" max="6" width="72" hidden="0" customWidth="1"/>
    <x:col min="7" max="7" width="42" hidden="0" customWidth="1"/>
    <x:col min="8" max="8" width="68" hidden="0" customWidth="1"/>
    <x:col min="9" max="9" width="68" hidden="0" customWidth="1"/>
  </x:cols>
  <x:sheetData>
    <x:row r="1">
      <x:c r="A1" s="98" t="str">
        <x:v>Current Path</x:v>
      </x:c>
      <x:c r="B1" s="98" t="str">
        <x:v>Recommended Folder</x:v>
      </x:c>
      <x:c r="C1" s="98" t="str">
        <x:v>Final Path</x:v>
      </x:c>
      <x:c r="D1" s="98" t="str">
        <x:v>Imported By Count</x:v>
      </x:c>
      <x:c r="E1" s="98" t="str">
        <x:v>Known Callers / References</x:v>
      </x:c>
      <x:c r="F1" s="98" t="str">
        <x:v>Newer Version Candidates</x:v>
      </x:c>
      <x:c r="G1" s="98" t="str">
        <x:v>Action</x:v>
      </x:c>
      <x:c r="H1" s="98" t="str">
        <x:v>Migration Safety Note</x:v>
      </x:c>
      <x:c r="I1" s="98" t="str">
        <x:v>GitHub Source</x:v>
      </x:c>
    </x:row>
    <x:row r="2">
      <x:c r="A2" s="59" t="str">
        <x:v>tiff/trace_net_e2e_image_visual_observer_route_v34.py</x:v>
      </x:c>
      <x:c r="B2" s="59" t="str">
        <x:v>src/trace_net/serving/</x:v>
      </x:c>
      <x:c r="C2" s="59" t="str">
        <x:v>src/trace_net/serving/trace_net_e2e_image_visual_observer_route_v34.py</x:v>
      </x:c>
      <x:c r="D2" s="59" t="n">
        <x:v>4</x:v>
      </x:c>
      <x:c r="E2" s="59" t="str">
        <x:v>scripts/build_trace_net_e2e_image_visual_observer_route_v34.py; scripts/check_trace_net_e2e_image_visual_observer_route_v34_quality.py; scripts/serve_trace_net_e2e_image_visual_observer_route_v34.py; tests/unit/test_trace_net_e2e_image_visual_observer_route_v34.py</x:v>
      </x:c>
      <x:c r="F2" s="59" t="str">
        <x:v>tiff/trace_net_e2e_image_visual_observer_route_v34_1.py; tiff/trace_net_e2e_image_visual_observer_route_v34_2.py; tiff/trace_net_e2e_image_visual_observer_route_v34_3.py</x:v>
      </x:c>
      <x:c r="G2" s="59" t="str">
        <x:v>MOVE_WITH_PROTECTED_COMPATIBILITY_WRAPPER</x:v>
      </x:c>
      <x:c r="H2" s="59" t="str">
        <x:v>Old entrypoint must remain callable; verify relevant ports and OpenWebUI behavior.</x:v>
      </x:c>
      <x:c r="I2" s="59" t="str">
        <x:v>https://github.com/jwild2027/heico-ai-internship-summer-2026/blob/srv/tiff/trace_net_e2e_image_visual_observer_route_v34.py</x:v>
      </x:c>
    </x:row>
    <x:row r="3">
      <x:c r="A3" s="59" t="str">
        <x:v>tiff/trace_net_e2e_image_visual_observer_route_v34_1.py</x:v>
      </x:c>
      <x:c r="B3" s="59" t="str">
        <x:v>src/trace_net/serving/</x:v>
      </x:c>
      <x:c r="C3" s="59" t="str">
        <x:v>src/trace_net/serving/trace_net_e2e_image_visual_observer_route_v34_1.py</x:v>
      </x:c>
      <x:c r="D3" s="59" t="n">
        <x:v>4</x:v>
      </x:c>
      <x:c r="E3" s="59" t="str">
        <x:v>scripts/build_trace_net_e2e_image_visual_observer_route_v34_1.py; scripts/check_trace_net_e2e_image_visual_observer_route_v34_1_quality.py; scripts/serve_trace_net_e2e_image_visual_observer_route_v34_1.py; tests/unit/test_trace_net_e2e_image_visual_observer_route_v34_1.py</x:v>
      </x:c>
      <x:c r="F3" s="59" t="str">
        <x:v>tiff/trace_net_e2e_image_visual_observer_route_v34_2.py; tiff/trace_net_e2e_image_visual_observer_route_v34_3.py</x:v>
      </x:c>
      <x:c r="G3" s="59" t="str">
        <x:v>MOVE_WITH_PROTECTED_COMPATIBILITY_WRAPPER</x:v>
      </x:c>
      <x:c r="H3" s="59" t="str">
        <x:v>Old entrypoint must remain callable; verify relevant ports and OpenWebUI behavior.</x:v>
      </x:c>
      <x:c r="I3" s="59" t="str">
        <x:v>https://github.com/jwild2027/heico-ai-internship-summer-2026/blob/srv/tiff/trace_net_e2e_image_visual_observer_route_v34_1.py</x:v>
      </x:c>
    </x:row>
    <x:row r="4">
      <x:c r="A4" s="59" t="str">
        <x:v>tiff/trace_net_e2e_image_visual_observer_route_v34_2.py</x:v>
      </x:c>
      <x:c r="B4" s="59" t="str">
        <x:v>src/trace_net/serving/</x:v>
      </x:c>
      <x:c r="C4" s="59" t="str">
        <x:v>src/trace_net/serving/trace_net_e2e_image_visual_observer_route_v34_2.py</x:v>
      </x:c>
      <x:c r="D4" s="59" t="n">
        <x:v>4</x:v>
      </x:c>
      <x:c r="E4" s="59" t="str">
        <x:v>scripts/build_trace_net_e2e_image_visual_observer_route_v34_2.py; scripts/check_trace_net_e2e_image_visual_observer_route_v34_2_quality.py; scripts/serve_trace_net_e2e_image_visual_observer_route_v34_2.py; tests/unit/test_trace_net_e2e_image_visual_observer_route_v34_2.py</x:v>
      </x:c>
      <x:c r="F4" s="59" t="str">
        <x:v>tiff/trace_net_e2e_image_visual_observer_route_v34_3.py</x:v>
      </x:c>
      <x:c r="G4" s="59" t="str">
        <x:v>MOVE_WITH_PROTECTED_COMPATIBILITY_WRAPPER</x:v>
      </x:c>
      <x:c r="H4" s="59" t="str">
        <x:v>Old entrypoint must remain callable; verify relevant ports and OpenWebUI behavior.</x:v>
      </x:c>
      <x:c r="I4" s="59" t="str">
        <x:v>https://github.com/jwild2027/heico-ai-internship-summer-2026/blob/srv/tiff/trace_net_e2e_image_visual_observer_route_v34_2.py</x:v>
      </x:c>
    </x:row>
    <x:row r="5">
      <x:c r="A5" s="59" t="str">
        <x:v>tiff/trace_net_e2e_live_gemma_answer_writer_endpoint_v32.py</x:v>
      </x:c>
      <x:c r="B5" s="59" t="str">
        <x:v>src/trace_net/serving/</x:v>
      </x:c>
      <x:c r="C5" s="59" t="str">
        <x:v>src/trace_net/serving/trace_net_e2e_live_gemma_answer_writer_endpoint_v32.py</x:v>
      </x:c>
      <x:c r="D5" s="59" t="n">
        <x:v>4</x:v>
      </x:c>
      <x:c r="E5" s="59" t="str">
        <x:v>scripts/build_trace_net_e2e_live_gemma_answer_writer_endpoint_v32.py; scripts/check_trace_net_e2e_live_gemma_answer_writer_endpoint_v32_quality.py; scripts/serve_trace_net_e2e_live_gemma_answer_writer_endpoint_v32.py; tests/unit/test_trace_net_e2e_live_gemma_answer_writer_endpoint_v32.py</x:v>
      </x:c>
      <x:c r="F5" s="59" t="str">
        <x:v>tiff/trace_net_e2e_live_gemma_answer_writer_endpoint_v33.py</x:v>
      </x:c>
      <x:c r="G5" s="59" t="str">
        <x:v>MOVE_WITH_PROTECTED_COMPATIBILITY_WRAPPER</x:v>
      </x:c>
      <x:c r="H5" s="59" t="str">
        <x:v>Old entrypoint must remain callable; verify relevant ports and OpenWebUI behavior.</x:v>
      </x:c>
      <x:c r="I5" s="59" t="str">
        <x:v>https://github.com/jwild2027/heico-ai-internship-summer-2026/blob/srv/tiff/trace_net_e2e_live_gemma_answer_writer_endpoint_v32.py</x:v>
      </x:c>
    </x:row>
    <x:row r="6">
      <x:c r="A6" s="59" t="str">
        <x:v>tiff/trace_net_engineering_webui_answer_server_v1.py</x:v>
      </x:c>
      <x:c r="B6" s="59" t="str">
        <x:v>src/trace_net/serving/</x:v>
      </x:c>
      <x:c r="C6" s="59" t="str">
        <x:v>src/trace_net/serving/trace_net_engineering_webui_answer_server_v1.py</x:v>
      </x:c>
      <x:c r="D6" s="59" t="n">
        <x:v>8</x:v>
      </x:c>
      <x:c r="E6" s="59" t="str">
        <x:v>scripts/build_trace_net_engineering_webui_answer_server_v1.py; scripts/check_trace_net_engineering_webui_answer_server_v1_quality.py; scripts/run_trace_net_engineering_webui_answer_server_v1.py; tests/unit/test_trace_net_engineering_webui_answer_server_v1.py; tests/unit/test_trace_net_engineering_webui_answer_server_v1_3.py; tests/unit/test_trace_net_engineering_webui_answer_server_v1_3_bridge_v1.py; tests/unit/test_trace_net_engineering_webui_answer_server_v1_quality.py; tiff/trace_net_engineering_webui_answer_server_v1_3.py; tiff/trace_net_canonical_runtime_map_v1.py</x:v>
      </x:c>
      <x:c r="F6" s="59" t="str">
        <x:v>tiff/trace_net_engineering_webui_answer_server_v1_3.py</x:v>
      </x:c>
      <x:c r="G6" s="59" t="str">
        <x:v>MOVE_WITH_PROTECTED_COMPATIBILITY_WRAPPER</x:v>
      </x:c>
      <x:c r="H6" s="59" t="str">
        <x:v>Old entrypoint must remain callable; verify relevant ports and OpenWebUI behavior.</x:v>
      </x:c>
      <x:c r="I6" s="59" t="str">
        <x:v>https://github.com/jwild2027/heico-ai-internship-summer-2026/blob/srv/tiff/trace_net_engineering_webui_answer_server_v1.py</x:v>
      </x:c>
    </x:row>
    <x:row r="7">
      <x:c r="A7" s="59" t="str">
        <x:v>tiff/trace_net_graph_query_api_v1.py</x:v>
      </x:c>
      <x:c r="B7" s="59" t="str">
        <x:v>src/trace_net/serving/</x:v>
      </x:c>
      <x:c r="C7" s="59" t="str">
        <x:v>src/trace_net/serving/trace_net_graph_query_api_v1.py</x:v>
      </x:c>
      <x:c r="D7" s="59" t="n">
        <x:v>5</x:v>
      </x:c>
      <x:c r="E7" s="59" t="str">
        <x:v>scripts/check_trace_net_graph_query_api_v1_quality.py; scripts/run_trace_net_graph_query_api_v1.py; tests/unit/test_trace_net_graph_query_api_v1.py; tests/unit/test_trace_net_graph_query_api_v1_quality.py; tests/unit/test_trace_net_graph_query_api_v1_script_imports.py</x:v>
      </x:c>
      <x:c r="F7" s="59" t="str">
        <x:v>tiff/trace_net_graph_query_api_v1_1.py</x:v>
      </x:c>
      <x:c r="G7" s="59" t="str">
        <x:v>MOVE_WITH_PROTECTED_COMPATIBILITY_WRAPPER</x:v>
      </x:c>
      <x:c r="H7" s="59" t="str">
        <x:v>Old entrypoint must remain callable; verify relevant ports and OpenWebUI behavior.</x:v>
      </x:c>
      <x:c r="I7" s="59" t="str">
        <x:v>https://github.com/jwild2027/heico-ai-internship-summer-2026/blob/srv/tiff/trace_net_graph_query_api_v1.py</x:v>
      </x:c>
    </x:row>
    <x:row r="8">
      <x:c r="A8" s="59" t="str">
        <x:v>tiff/trace_net_hybrid_retrieval_v2.py</x:v>
      </x:c>
      <x:c r="B8" s="59" t="str">
        <x:v>src/trace_net/retrieval/</x:v>
      </x:c>
      <x:c r="C8" s="59" t="str">
        <x:v>src/trace_net/retrieval/trace_net_hybrid_retrieval_v2.py</x:v>
      </x:c>
      <x:c r="D8" s="59" t="n">
        <x:v>4</x:v>
      </x:c>
      <x:c r="E8" s="59" t="str">
        <x:v>scripts/build_trace_net_hybrid_retrieval_v2.py; scripts/check_trace_net_hybrid_retrieval_v2_quality.py; tests/unit/test_trace_net_hybrid_retrieval_v2.py; tests/unit/test_trace_net_hybrid_retrieval_v2_quality.py</x:v>
      </x:c>
      <x:c r="F8" s="59" t="str">
        <x:v>tiff/trace_net_hybrid_retrieval_v3.py</x:v>
      </x:c>
      <x:c r="G8" s="59" t="str">
        <x:v>MOVE_WITH_IMPORT_UPDATES_AND_COMPATIBILITY_WRAPPER</x:v>
      </x:c>
      <x:c r="H8" s="59" t="str">
        <x:v>Update imports and retain the old tiff module as a wrapper when callers exist.</x:v>
      </x:c>
      <x:c r="I8" s="59" t="str">
        <x:v>https://github.com/jwild2027/heico-ai-internship-summer-2026/blob/srv/tiff/trace_net_hybrid_retrieval_v2.py</x:v>
      </x:c>
    </x:row>
    <x:row r="9">
      <x:c r="A9" s="59" t="str">
        <x:v>tiff/trace_net_openwebui_gemma4_engram_bridge_v1.py</x:v>
      </x:c>
      <x:c r="B9" s="59" t="str">
        <x:v>src/trace_net/serving/</x:v>
      </x:c>
      <x:c r="C9" s="59" t="str">
        <x:v>src/trace_net/serving/trace_net_openwebui_gemma4_engram_bridge_v1.py</x:v>
      </x:c>
      <x:c r="D9" s="59" t="n">
        <x:v>3</x:v>
      </x:c>
      <x:c r="E9" s="59" t="str">
        <x:v>scripts/serve_trace_net_openwebui_gemma4_engram_bridge_v1.py; tests/unit/test_trace_net_openwebui_gemma4_engram_bridge_v1.py; tests/unit/test_trace_net_openwebui_gemma4_engram_bridge_v2.py</x:v>
      </x:c>
      <x:c r="F9" s="59" t="str">
        <x:v>tiff/trace_net_openwebui_gemma4_engram_bridge_v2.py</x:v>
      </x:c>
      <x:c r="G9" s="59" t="str">
        <x:v>MOVE_WITH_PROTECTED_COMPATIBILITY_WRAPPER</x:v>
      </x:c>
      <x:c r="H9" s="59" t="str">
        <x:v>Old entrypoint must remain callable; verify relevant ports and OpenWebUI behavior.</x:v>
      </x:c>
      <x:c r="I9" s="59" t="str">
        <x:v>https://github.com/jwild2027/heico-ai-internship-summer-2026/blob/srv/tiff/trace_net_openwebui_gemma4_engram_bridge_v1.py</x:v>
      </x:c>
    </x:row>
    <x:row r="10">
      <x:c r="A10" s="59" t="str">
        <x:v>tiff/trace_net_page_retrieval_large_eval_v1.py</x:v>
      </x:c>
      <x:c r="B10" s="59" t="str">
        <x:v>src/trace_net/retrieval/</x:v>
      </x:c>
      <x:c r="C10" s="59" t="str">
        <x:v>src/trace_net/retrieval/trace_net_page_retrieval_large_eval_v1.py</x:v>
      </x:c>
      <x:c r="D10" s="59" t="n">
        <x:v>4</x:v>
      </x:c>
      <x:c r="E10" s="59" t="str">
        <x:v>scripts/build_trace_net_page_retrieval_large_eval_v1.py; scripts/check_trace_net_page_retrieval_large_eval_v1_quality.py; tests/unit/test_trace_net_page_retrieval_large_eval_v1.py; tests/unit/test_trace_net_page_retrieval_large_eval_v1_quality.py</x:v>
      </x:c>
      <x:c r="F10" s="59" t="str">
        <x:v>tiff/trace_net_page_retrieval_large_eval_v2.py</x:v>
      </x:c>
      <x:c r="G10" s="59" t="str">
        <x:v>MOVE_WITH_PROTECTED_COMPATIBILITY_WRAPPER</x:v>
      </x:c>
      <x:c r="H10" s="59" t="str">
        <x:v>Update imports and retain the old tiff module as a wrapper when callers exist.</x:v>
      </x:c>
      <x:c r="I10" s="59" t="str">
        <x:v>https://github.com/jwild2027/heico-ai-internship-summer-2026/blob/srv/tiff/trace_net_page_retrieval_large_eval_v1.py</x:v>
      </x:c>
    </x:row>
    <x:row r="11">
      <x:c r="A11" s="59" t="str">
        <x:v>tiff/trace_net_visual_callout_table_linker_v1.py</x:v>
      </x:c>
      <x:c r="B11" s="59" t="str">
        <x:v>src/trace_net/tables/</x:v>
      </x:c>
      <x:c r="C11" s="59" t="str">
        <x:v>src/trace_net/tables/trace_net_visual_callout_table_linker_v1.py</x:v>
      </x:c>
      <x:c r="D11" s="59" t="n">
        <x:v>2</x:v>
      </x:c>
      <x:c r="E11" s="59" t="str">
        <x:v>scripts/build_trace_net_visual_callout_table_linker_v1.py; tests/unit/test_trace_net_llava_visual_summary_batch_and_linker_v1.py</x:v>
      </x:c>
      <x:c r="F11" s="59" t="str">
        <x:v>tiff/trace_net_visual_callout_table_linker_v2.py</x:v>
      </x:c>
      <x:c r="G11" s="59" t="str">
        <x:v>MOVE_WITH_IMPORT_UPDATES_AND_COMPATIBILITY_WRAPPER</x:v>
      </x:c>
      <x:c r="H11" s="59" t="str">
        <x:v>Update imports and retain the old tiff module as a wrapper when callers exist.</x:v>
      </x:c>
      <x:c r="I11" s="59" t="str">
        <x:v>https://github.com/jwild2027/heico-ai-internship-summer-2026/blob/srv/tiff/trace_net_visual_callout_table_linker_v1.py</x:v>
      </x:c>
    </x:row>
    <x:row r="12">
      <x:c r="A12" s="59" t="str">
        <x:v>tiff/trace_net_visual_callout_table_linker_v1_check.py</x:v>
      </x:c>
      <x:c r="B12" s="59" t="str">
        <x:v>src/trace_net/tables/</x:v>
      </x:c>
      <x:c r="C12" s="59" t="str">
        <x:v>src/trace_net/tables/trace_net_visual_callout_table_linker_v1_check.py</x:v>
      </x:c>
      <x:c r="D12" s="59" t="n">
        <x:v>2</x:v>
      </x:c>
      <x:c r="E12" s="59" t="str">
        <x:v>scripts/check_trace_net_visual_callout_table_linker_v1.py; tests/unit/test_trace_net_llava_visual_summary_batch_and_linker_v1.py</x:v>
      </x:c>
      <x:c r="F12" s="59" t="str">
        <x:v>tiff/trace_net_visual_callout_table_linker_v2_check.py</x:v>
      </x:c>
      <x:c r="G12" s="59" t="str">
        <x:v>MOVE_WITH_IMPORT_UPDATES_AND_COMPATIBILITY_WRAPPER</x:v>
      </x:c>
      <x:c r="H12" s="59" t="str">
        <x:v>Update check wrapper imports and preserve old tiff path until the check passes.</x:v>
      </x:c>
      <x:c r="I12" s="59" t="str">
        <x:v>https://github.com/jwild2027/heico-ai-internship-summer-2026/blob/srv/tiff/trace_net_visual_callout_table_linker_v1_check.py</x:v>
      </x:c>
    </x:row>
  </x:sheetData>
  <x:pageMargins left="0.7" right="0.7" top="0.75" bottom="0.75" header="0.3" footer="0.3"/>
  <x:tableParts count="1">
    <x:tablePart xmlns:r="http://schemas.openxmlformats.org/officeDocument/2006/relationships" r:id="Re2b0c0e32a28469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75" hidden="0" customWidth="1"/>
    <x:col min="4" max="4" width="75" hidden="0" customWidth="1"/>
    <x:col min="5" max="5" width="14" hidden="0" customWidth="1"/>
  </x:cols>
  <x:sheetData>
    <x:row r="1">
      <x:c r="A1" s="45" t="str">
        <x:v>Phase</x:v>
      </x:c>
      <x:c r="B1" s="45" t="str">
        <x:v>Name</x:v>
      </x:c>
      <x:c r="C1" s="45" t="str">
        <x:v>Work</x:v>
      </x:c>
      <x:c r="D1" s="45" t="str">
        <x:v>Required Check</x:v>
      </x:c>
      <x:c r="E1" s="45" t="str">
        <x:v>Risk</x:v>
      </x:c>
    </x:row>
    <x:row r="2">
      <x:c r="A2" s="59" t="n">
        <x:v>0</x:v>
      </x:c>
      <x:c r="B2" s="59" t="str">
        <x:v>Protect current state</x:v>
      </x:c>
      <x:c r="C2" s="59" t="str">
        <x:v>Tag and branch the current srv state. Make no file moves yet.</x:v>
      </x:c>
      <x:c r="D2" s="59" t="str">
        <x:v>clean git status; tag visible</x:v>
      </x:c>
      <x:c r="E2" s="59" t="str">
        <x:v>Critical</x:v>
      </x:c>
    </x:row>
    <x:row r="3">
      <x:c r="A3" s="59" t="n">
        <x:v>1</x:v>
      </x:c>
      <x:c r="B3" s="59" t="str">
        <x:v>Create package skeleton</x:v>
      </x:c>
      <x:c r="C3" s="59" t="str">
        <x:v>Create src/trace_net stage packages plus quality subpackages and legacy folders.</x:v>
      </x:c>
      <x:c r="D3" s="59" t="str">
        <x:v>compile empty package imports</x:v>
      </x:c>
      <x:c r="E3" s="59" t="str">
        <x:v>Low</x:v>
      </x:c>
    </x:row>
    <x:row r="4">
      <x:c r="A4" s="59" t="n">
        <x:v>2</x:v>
      </x:c>
      <x:c r="B4" s="59" t="str">
        <x:v>Archive obvious backups</x:v>
      </x:c>
      <x:c r="C4" s="59" t="str">
        <x:v>Use git mv for 30 backup snapshots and the .keep marker. Delete nothing.</x:v>
      </x:c>
      <x:c r="D4" s="59" t="str">
        <x:v>active counterparts exist; focused tests</x:v>
      </x:c>
      <x:c r="E4" s="59" t="str">
        <x:v>Low</x:v>
      </x:c>
    </x:row>
    <x:row r="5">
      <x:c r="A5" s="59" t="n">
        <x:v>3</x:v>
      </x:c>
      <x:c r="B5" s="59" t="str">
        <x:v>Move core and package initializer</x:v>
      </x:c>
      <x:c r="C5" s="59" t="str">
        <x:v>Create src/trace_net/__init__.py and core modules; keep tiff compatibility package.</x:v>
      </x:c>
      <x:c r="D5" s="59" t="str">
        <x:v>old and new imports both pass</x:v>
      </x:c>
      <x:c r="E5" s="59" t="str">
        <x:v>High</x:v>
      </x:c>
    </x:row>
    <x:row r="6">
      <x:c r="A6" s="59" t="n">
        <x:v>4</x:v>
      </x:c>
      <x:c r="B6" s="59" t="str">
        <x:v>Move ingestion, OCR, visual, and tables</x:v>
      </x:c>
      <x:c r="C6" s="59" t="str">
        <x:v>Move one stage per commit with wrappers and artifact parity checks.</x:v>
      </x:c>
      <x:c r="D6" s="59" t="str">
        <x:v>stage unit tests; artifact count/checksum parity</x:v>
      </x:c>
      <x:c r="E6" s="59" t="str">
        <x:v>High</x:v>
      </x:c>
    </x:row>
    <x:row r="7">
      <x:c r="A7" s="59" t="n">
        <x:v>5</x:v>
      </x:c>
      <x:c r="B7" s="59" t="str">
        <x:v>Move graph, embeddings, retrieval, and router</x:v>
      </x:c>
      <x:c r="C7" s="59" t="str">
        <x:v>Preserve graph contracts, Qdrant/OpenSearch policies, and bounded traversal.</x:v>
      </x:c>
      <x:c r="D7" s="59" t="str">
        <x:v>focused DB/search tests; no unintended writes</x:v>
      </x:c>
      <x:c r="E7" s="59" t="str">
        <x:v>High</x:v>
      </x:c>
    </x:row>
    <x:row r="8">
      <x:c r="A8" s="59" t="n">
        <x:v>6</x:v>
      </x:c>
      <x:c r="B8" s="59" t="str">
        <x:v>Move Engram, context, writing, validation, and feedback</x:v>
      </x:c>
      <x:c r="C8" s="59" t="str">
        <x:v>Preserve evidence, citation, memory, retry, and gate contracts.</x:v>
      </x:c>
      <x:c r="D8" s="59" t="str">
        <x:v>answer-quality and Engram regression gates</x:v>
      </x:c>
      <x:c r="E8" s="59" t="str">
        <x:v>High</x:v>
      </x:c>
    </x:row>
    <x:row r="9">
      <x:c r="A9" s="59" t="n">
        <x:v>7</x:v>
      </x:c>
      <x:c r="B9" s="59" t="str">
        <x:v>Move protected serving/runtime files last</x:v>
      </x:c>
      <x:c r="C9" s="59" t="str">
        <x:v>Retain old entrypoints and verify all current ports and OpenWebUI routes.</x:v>
      </x:c>
      <x:c r="D9" s="59" t="str">
        <x:v>8118/8128/8131 and active endpoint health</x:v>
      </x:c>
      <x:c r="E9" s="59" t="str">
        <x:v>Critical</x:v>
      </x:c>
    </x:row>
    <x:row r="10">
      <x:c r="A10" s="59" t="n">
        <x:v>8</x:v>
      </x:c>
      <x:c r="B10" s="59" t="str">
        <x:v>Move tests and regression utilities</x:v>
      </x:c>
      <x:c r="C10" s="59" t="str">
        <x:v>Update pytest discovery and imports after implementation paths stabilize.</x:v>
      </x:c>
      <x:c r="D10" s="59" t="str">
        <x:v>focused and full pytest PASS</x:v>
      </x:c>
      <x:c r="E10" s="59" t="str">
        <x:v>Medium</x:v>
      </x:c>
    </x:row>
    <x:row r="11">
      <x:c r="A11" s="59" t="n">
        <x:v>9</x:v>
      </x:c>
      <x:c r="B11" s="59" t="str">
        <x:v>Retire compatibility wrappers</x:v>
      </x:c>
      <x:c r="C11" s="59" t="str">
        <x:v>Only after laptop and Ubuntu server full-stack validation.</x:v>
      </x:c>
      <x:c r="D11" s="59" t="str">
        <x:v>full regression plus server launch PASS</x:v>
      </x:c>
      <x:c r="E11" s="59" t="str">
        <x:v>Critical</x:v>
      </x:c>
    </x:row>
  </x:sheetData>
  <x:conditionalFormatting sqref="E2:E11">
    <x:cfRule type="expression" dxfId="5" priority="1">
      <x:formula>OR(E2="High",E2="Critical")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8c7581fed6411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>
      <x:c r="A1" s="103" t="str">
        <x:v>How to use the TIFF organization spreadsheet</x:v>
      </x:c>
      <x:c r="B1" s="103"/>
      <x:c r="C1" s="103"/>
      <x:c r="D1" s="103"/>
      <x:c r="E1" s="103"/>
      <x:c r="F1" s="103"/>
    </x:row>
    <x:row r="3">
      <x:c r="A3" s="106" t="str">
        <x:v>Item</x:v>
      </x:c>
      <x:c r="B3" s="106" t="str">
        <x:v>Meaning</x:v>
      </x:c>
    </x:row>
    <x:row r="4">
      <x:c r="A4" s="107" t="str">
        <x:v>Scope</x:v>
      </x:c>
      <x:c r="B4" s="59" t="str">
        <x:v>All 562 tracked files under tiff/ from the supplied srv inventory.</x:v>
      </x:c>
    </x:row>
    <x:row r="5">
      <x:c r="A5" s="107" t="str">
        <x:v>Final Path</x:v>
      </x:c>
      <x:c r="B5" s="59" t="str">
        <x:v>Recommended eventual destination. Nothing has been moved.</x:v>
      </x:c>
    </x:row>
    <x:row r="6">
      <x:c r="A6" s="107" t="str">
        <x:v>Recommended Area</x:v>
      </x:c>
      <x:c r="B6" s="59" t="str">
        <x:v>The functional TRACE-Net stage or repository area.</x:v>
      </x:c>
    </x:row>
    <x:row r="7">
      <x:c r="A7" s="107" t="str">
        <x:v>Legacy archive</x:v>
      </x:c>
      <x:c r="B7" s="59" t="str">
        <x:v>Only backup snapshots and the obsolete .keep marker. No deletion.</x:v>
      </x:c>
    </x:row>
    <x:row r="8">
      <x:c r="A8" s="107" t="str">
        <x:v>Compatibility wrapper</x:v>
      </x:c>
      <x:c r="B8" s="59" t="str">
        <x:v>Old tiff import remains while callers are migrated.</x:v>
      </x:c>
    </x:row>
    <x:row r="9">
      <x:c r="A9" s="107" t="str">
        <x:v>Protected runtime</x:v>
      </x:c>
      <x:c r="B9" s="59" t="str">
        <x:v>Move last and keep the old entrypoint callable.</x:v>
      </x:c>
    </x:row>
    <x:row r="10">
      <x:c r="A10" s="107" t="str">
        <x:v>Quality subpackages</x:v>
      </x:c>
      <x:c r="B10" s="59" t="str">
        <x:v>Stage-specific validators stay beside their domain, such as tables/quality.</x:v>
      </x:c>
    </x:row>
    <x:row r="11">
      <x:c r="A11" s="107" t="str">
        <x:v>Version Review</x:v>
      </x:c>
      <x:c r="B11" s="59" t="str">
        <x:v>Older versions listed here still have callers and must not be labeled legacy solely by version.</x:v>
      </x:c>
    </x:row>
    <x:row r="12">
      <x:c r="A12" s="107" t="str">
        <x:v>Source links</x:v>
      </x:c>
      <x:c r="B12" s="59" t="str">
        <x:v>Every file row includes the exact GitHub srv-branch URL.</x:v>
      </x:c>
    </x:row>
    <x:row r="13">
      <x:c r="A13" s="107" t="str">
        <x:v>Execution</x:v>
      </x:c>
      <x:c r="B13" s="59" t="str">
        <x:v>Apply stage-by-stage with git mv, import rewrites, wrappers, tests, and health checks.</x:v>
      </x:c>
    </x:row>
  </x:sheetData>
  <x:mergeCells>
    <x:mergeCell ref="A1:F1"/>
  </x:mergeCells>
  <x:pageMargins left="0.7" right="0.7" top="0.75" bottom="0.75" header="0.3" footer="0.3"/>
</x:worksheet>
</file>