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d01558a984d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ec20dfc4764d90"/>
    <x:sheet xmlns:r="http://schemas.openxmlformats.org/officeDocument/2006/relationships" name="File Plan" sheetId="2" r:id="R9acf73a9fb63462b"/>
    <x:sheet xmlns:r="http://schemas.openxmlformats.org/officeDocument/2006/relationships" name="Folder Summary" sheetId="3" r:id="Rec6c608e06ba4c7f"/>
    <x:sheet xmlns:r="http://schemas.openxmlformats.org/officeDocument/2006/relationships" name="Legacy Review" sheetId="4" r:id="Re98c28cb8b3e4e9c"/>
    <x:sheet xmlns:r="http://schemas.openxmlformats.org/officeDocument/2006/relationships" name="Migration Order" sheetId="5" r:id="R41a7326ec1814181"/>
    <x:sheet xmlns:r="http://schemas.openxmlformats.org/officeDocument/2006/relationships" name="Read Me" sheetId="6" r:id="R7fc585b8ee5941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 &quot;bytes&quot;"/>
    <x:numFmt numFmtId="202" formatCode="0%"/>
    <x:numFmt numFmtId="203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6FBF3"/>
      </x:patternFill>
    </x:fill>
    <x:fill>
      <x:patternFill patternType="solid">
        <x:fgColor rgb="FF9C0006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2" fillId="4" borderId="0" xfId="0" applyNumberFormat="1" applyFont="1" applyFill="1" applyBorder="1"/>
    <x:xf numFmtId="200" fontId="2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274E13"/>
      </x:font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0a1f678d74ff3" /><Relationship Type="http://schemas.openxmlformats.org/officeDocument/2006/relationships/theme" Target="/xl/theme/theme1.xml" Id="R550c2024a01f4fcc" /><Relationship Type="http://schemas.microsoft.com/office/2022/11/relationships/FeaturePropertyBag" Target="/xl/featurePropertyBag/featurePropertyBag.xml" Id="R94cc42cba4b84740" /><Relationship Type="http://schemas.openxmlformats.org/officeDocument/2006/relationships/sharedStrings" Target="/xl/sharedStrings.xml" Id="Ra994fe805cfe4e55" /><Relationship Type="http://schemas.openxmlformats.org/officeDocument/2006/relationships/worksheet" Target="/xl/worksheets/sheet1.xml" Id="Rbaec20dfc4764d90" /><Relationship Type="http://schemas.openxmlformats.org/officeDocument/2006/relationships/worksheet" Target="/xl/worksheets/sheet2.xml" Id="R9acf73a9fb63462b" /><Relationship Type="http://schemas.openxmlformats.org/officeDocument/2006/relationships/worksheet" Target="/xl/worksheets/sheet3.xml" Id="Rec6c608e06ba4c7f" /><Relationship Type="http://schemas.openxmlformats.org/officeDocument/2006/relationships/worksheet" Target="/xl/worksheets/sheet4.xml" Id="Re98c28cb8b3e4e9c" /><Relationship Type="http://schemas.openxmlformats.org/officeDocument/2006/relationships/worksheet" Target="/xl/worksheets/sheet5.xml" Id="R41a7326ec1814181" /><Relationship Type="http://schemas.openxmlformats.org/officeDocument/2006/relationships/worksheet" Target="/xl/worksheets/sheet6.xml" Id="R7fc585b8ee59415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4e6d26c23f4a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Current src files by recommended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File Count</c:v>
          </c:tx>
          <c:cat>
            <c:strRef>
              <c:f>'Dashboard'!$D$4:$D$13</c:f>
              <c:strCache>
                <c:ptCount val="0"/>
              </c:strCache>
            </c:strRef>
          </c:cat>
          <c:val>
            <c:numRef>
              <c:f>'Dashboard'!$E$4:$E$13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4e6d26c23f4a2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rcFilePlanTable" displayName="SrcFilePlanTable" ref="A1:W41" headerRowCount="1">
  <x:tableColumns count="23">
    <x:tableColumn id="1" name="ID"/>
    <x:tableColumn id="2" name="Current Path"/>
    <x:tableColumn id="3" name="File Name"/>
    <x:tableColumn id="4" name="Current Folder"/>
    <x:tableColumn id="5" name="Recommended Area"/>
    <x:tableColumn id="6" name="Recommended Folder"/>
    <x:tableColumn id="7" name="Recommended File Name"/>
    <x:tableColumn id="8" name="Final Path"/>
    <x:tableColumn id="9" name="Action"/>
    <x:tableColumn id="10" name="Keep in Active Repo"/>
    <x:tableColumn id="11" name="Imported By Count"/>
    <x:tableColumn id="12" name="Referenced By Count"/>
    <x:tableColumn id="13" name="Known Callers / References"/>
    <x:tableColumn id="14" name="Inventory Primary Stage"/>
    <x:tableColumn id="15" name="Inventory Secondary Stages"/>
    <x:tableColumn id="16" name="Confidence"/>
    <x:tableColumn id="17" name="Reason"/>
    <x:tableColumn id="18" name="Migration Safety Note"/>
    <x:tableColumn id="19" name="GitHub Source"/>
    <x:tableColumn id="20" name="Tracked"/>
    <x:tableColumn id="21" name="Compatibility Wrapper Needed"/>
    <x:tableColumn id="22" name="Size Bytes"/>
    <x:tableColumn id="23" name="Review Status"/>
  </x:tableColumns>
  <x:tableStyleInfo name="TableStyleMedium2" showRowStripes="1"/>
</x:table>
</file>

<file path=xl/tables/table2.xml><?xml version="1.0" encoding="utf-8"?>
<x:table xmlns:x="http://schemas.openxmlformats.org/spreadsheetml/2006/main" id="2" name="FolderSummaryTable" displayName="FolderSummaryTable" ref="A1:G14" headerRowCount="1">
  <x:tableColumns count="7">
    <x:tableColumn id="1" name="Recommended Folder"/>
    <x:tableColumn id="2" name="File Count"/>
    <x:tableColumn id="3" name="Active Files"/>
    <x:tableColumn id="4" name="Legacy Files"/>
    <x:tableColumn id="5" name="Known-Caller Files"/>
    <x:tableColumn id="6" name="Total Bytes"/>
    <x:tableColumn id="7" name="Example Files"/>
  </x:tableColumns>
  <x:tableStyleInfo name="TableStyleMedium2" showRowStripes="1"/>
</x:table>
</file>

<file path=xl/tables/table3.xml><?xml version="1.0" encoding="utf-8"?>
<x:table xmlns:x="http://schemas.openxmlformats.org/spreadsheetml/2006/main" id="3" name="LegacyReviewTable" displayName="LegacyReviewTable" ref="A1:I12" headerRowCount="1">
  <x:tableColumns count="9">
    <x:tableColumn id="1" name="Current Path"/>
    <x:tableColumn id="2" name="Recommended Folder"/>
    <x:tableColumn id="3" name="Recommended File Name"/>
    <x:tableColumn id="4" name="Action"/>
    <x:tableColumn id="5" name="Confidence"/>
    <x:tableColumn id="6" name="Reason"/>
    <x:tableColumn id="7" name="Known Callers / References"/>
    <x:tableColumn id="8" name="Migration Safety Note"/>
    <x:tableColumn id="9" name="GitHub Source"/>
  </x:tableColumns>
  <x:tableStyleInfo name="TableStyleMedium2" showRowStripes="1"/>
</x:table>
</file>

<file path=xl/tables/table4.xml><?xml version="1.0" encoding="utf-8"?>
<x:table xmlns:x="http://schemas.openxmlformats.org/spreadsheetml/2006/main" id="4" name="MigrationOrderTable" displayName="MigrationOrderTable" ref="A1:E9" headerRowCount="1">
  <x:tableColumns count="5">
    <x:tableColumn id="1" name="Phase"/>
    <x:tableColumn id="2" name="Name"/>
    <x:tableColumn id="3" name="Work"/>
    <x:tableColumn id="4" name="Required Check"/>
    <x:tableColumn id="5" name="Ris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d7e96fc8e245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8cbcf4016f40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71d2a5a94f45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894d663e2d42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4a3da3e29e0401f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4" max="4" width="25" hidden="0" customWidth="1"/>
    <x:col min="5" max="5" width="14" hidden="0" customWidth="1"/>
  </x:cols>
  <x:sheetData>
    <x:row r="1" ht="30" customHeight="1">
      <x:c r="A1" s="5" t="str">
        <x:v>TRACE-Net SRC Organization Plan — Branch srv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Metric</x:v>
      </x:c>
      <x:c r="B3" s="12" t="str">
        <x:v>Value</x:v>
      </x:c>
      <x:c r="D3" s="12" t="str">
        <x:v>Recommended Area</x:v>
      </x:c>
      <x:c r="E3" s="12" t="str">
        <x:v>File Count</x:v>
      </x:c>
    </x:row>
    <x:row r="4">
      <x:c r="A4" s="20" t="str">
        <x:v>Current src files</x:v>
      </x:c>
      <x:c r="B4" s="16" t="n">
        <x:f>COUNTA('File Plan'!A2:A41)</x:f>
        <x:v>40</x:v>
      </x:c>
      <x:c r="D4" t="str">
        <x:v>benchmark</x:v>
      </x:c>
      <x:c r="E4" s="16" t="n">
        <x:f>COUNTIF('File Plan'!E$2:E$41,D4)</x:f>
        <x:v>7</x:v>
      </x:c>
    </x:row>
    <x:row r="5">
      <x:c r="A5" s="20" t="str">
        <x:v>Keep in active repo</x:v>
      </x:c>
      <x:c r="B5" s="16" t="n">
        <x:f>COUNTIF('File Plan'!E2:E41,"&lt;&gt;legacy")</x:f>
        <x:v>29</x:v>
      </x:c>
      <x:c r="D5" t="str">
        <x:v>core</x:v>
      </x:c>
      <x:c r="E5" s="16" t="n">
        <x:f>COUNTIF('File Plan'!E$2:E$41,D5)</x:f>
        <x:v>3</x:v>
      </x:c>
    </x:row>
    <x:row r="6">
      <x:c r="A6" s="20" t="str">
        <x:v>Legacy candidates</x:v>
      </x:c>
      <x:c r="B6" s="16" t="n">
        <x:f>COUNTIF('File Plan'!E2:E41,"legacy")</x:f>
        <x:v>11</x:v>
      </x:c>
      <x:c r="D6" t="str">
        <x:v>embeddings</x:v>
      </x:c>
      <x:c r="E6" s="16" t="n">
        <x:f>COUNTIF('File Plan'!E$2:E$41,D6)</x:f>
        <x:v>2</x:v>
      </x:c>
    </x:row>
    <x:row r="7">
      <x:c r="A7" s="20" t="str">
        <x:v>Files with known callers</x:v>
      </x:c>
      <x:c r="B7" s="16" t="n">
        <x:f>COUNTIF('File Plan'!K2:K41,"&gt;0")</x:f>
        <x:v>12</x:v>
      </x:c>
      <x:c r="D7" t="str">
        <x:v>ingestion</x:v>
      </x:c>
      <x:c r="E7" s="16" t="n">
        <x:f>COUNTIF('File Plan'!E$2:E$41,D7)</x:f>
        <x:v>11</x:v>
      </x:c>
    </x:row>
    <x:row r="8">
      <x:c r="A8" s="20" t="str">
        <x:v>Moves needing import updates/wrappers</x:v>
      </x:c>
      <x:c r="B8" s="16" t="n">
        <x:f>COUNTIF('File Plan'!W2:W41,"Import migration")+COUNTIF('File Plan'!W2:W41,"Split required")</x:f>
        <x:v>17</x:v>
      </x:c>
      <x:c r="D8" t="str">
        <x:v>integration_test</x:v>
      </x:c>
      <x:c r="E8" s="16" t="n">
        <x:f>COUNTIF('File Plan'!E$2:E$41,D8)</x:f>
        <x:v>1</x:v>
      </x:c>
    </x:row>
    <x:row r="9">
      <x:c r="A9" s="20" t="str">
        <x:v>High-confidence decisions</x:v>
      </x:c>
      <x:c r="B9" s="16" t="n">
        <x:f>COUNTIF('File Plan'!P2:P41,"&gt;=0.95")</x:f>
        <x:v>39</x:v>
      </x:c>
      <x:c r="D9" t="str">
        <x:v>legacy</x:v>
      </x:c>
      <x:c r="E9" s="16" t="n">
        <x:f>COUNTIF('File Plan'!E$2:E$41,D9)</x:f>
        <x:v>11</x:v>
      </x:c>
    </x:row>
    <x:row r="10">
      <x:c r="A10" s="20" t="str">
        <x:v>Current src total size</x:v>
      </x:c>
      <x:c r="B10" s="18" t="n">
        <x:f>SUM('File Plan'!V2:V41)</x:f>
        <x:v>330324</x:v>
      </x:c>
      <x:c r="D10" t="str">
        <x:v>maintenance</x:v>
      </x:c>
      <x:c r="E10" s="16" t="n">
        <x:f>COUNTIF('File Plan'!E$2:E$41,D10)</x:f>
        <x:v>2</x:v>
      </x:c>
    </x:row>
    <x:row r="11">
      <x:c r="D11" t="str">
        <x:v>ocr</x:v>
      </x:c>
      <x:c r="E11" s="16" t="n">
        <x:f>COUNTIF('File Plan'!E$2:E$41,D11)</x:f>
        <x:v>1</x:v>
      </x:c>
    </x:row>
    <x:row r="12">
      <x:c r="D12" t="str">
        <x:v>retrieval</x:v>
      </x:c>
      <x:c r="E12" s="16" t="n">
        <x:f>COUNTIF('File Plan'!E$2:E$41,D12)</x:f>
        <x:v>1</x:v>
      </x:c>
    </x:row>
    <x:row r="13">
      <x:c r="A13" s="24" t="str">
        <x:v>Scope and safety</x:v>
      </x:c>
      <x:c r="B13" s="24"/>
      <x:c r="C13" s="24"/>
      <x:c r="D13" s="24" t="str">
        <x:v>validation</x:v>
      </x:c>
      <x:c r="E13" s="25" t="n">
        <x:f>COUNTIF('File Plan'!E$2:E$41,D13)</x:f>
        <x:v>1</x:v>
      </x:c>
      <x:c r="F13" s="24"/>
      <x:c r="G13" s="24"/>
      <x:c r="H13" s="24"/>
    </x:row>
    <x:row r="14">
      <x:c r="A14" s="32" t="str">
        <x:v>Scope: only the 40 tracked files currently under src/ on the GitHub srv branch. This workbook is a move plan, not an execution script. No file is deleted. Active files with callers require import updates and temporary compatibility wrappers. Legacy means archive candidate, not immediate deletion.</x:v>
      </x:c>
      <x:c r="B14" s="32"/>
      <x:c r="C14" s="32"/>
      <x:c r="D14" s="32"/>
      <x:c r="E14" s="32"/>
      <x:c r="F14" s="32"/>
      <x:c r="G14" s="32"/>
      <x:c r="H14" s="32"/>
    </x:row>
    <x:row r="15">
      <x:c r="A15" s="32"/>
      <x:c r="B15" s="32"/>
      <x:c r="C15" s="32"/>
      <x:c r="D15" s="32"/>
      <x:c r="E15" s="32"/>
      <x:c r="F15" s="32"/>
      <x:c r="G15" s="32"/>
      <x:c r="H15" s="32"/>
    </x:row>
    <x:row r="16">
      <x:c r="A16" s="32"/>
      <x:c r="B16" s="32"/>
      <x:c r="C16" s="32"/>
      <x:c r="D16" s="32"/>
      <x:c r="E16" s="32"/>
      <x:c r="F16" s="32"/>
      <x:c r="G16" s="32"/>
      <x:c r="H16" s="32"/>
    </x:row>
    <x:row r="17">
      <x:c r="A17" s="32"/>
      <x:c r="B17" s="32"/>
      <x:c r="C17" s="32"/>
      <x:c r="D17" s="32"/>
      <x:c r="E17" s="32"/>
      <x:c r="F17" s="32"/>
      <x:c r="G17" s="32"/>
      <x:c r="H17" s="32"/>
    </x:row>
    <x:row r="18">
      <x:c r="A18" s="32"/>
      <x:c r="B18" s="32"/>
      <x:c r="C18" s="32"/>
      <x:c r="D18" s="32"/>
      <x:c r="E18" s="32"/>
      <x:c r="F18" s="32"/>
      <x:c r="G18" s="32"/>
      <x:c r="H18" s="32"/>
    </x:row>
    <x:row r="19">
      <x:c r="A19" s="32"/>
      <x:c r="B19" s="32"/>
      <x:c r="C19" s="32"/>
      <x:c r="D19" s="32"/>
      <x:c r="E19" s="32"/>
      <x:c r="F19" s="32"/>
      <x:c r="G19" s="32"/>
      <x:c r="H19" s="32"/>
    </x:row>
  </x:sheetData>
  <x:mergeCells>
    <x:mergeCell ref="A1:H1"/>
    <x:mergeCell ref="A13:H13"/>
    <x:mergeCell ref="A14:H19"/>
  </x:mergeCells>
  <x:pageMargins left="0.7" right="0.7" top="0.75" bottom="0.75" header="0.3" footer="0.3"/>
  <x:drawing xmlns:r="http://schemas.openxmlformats.org/officeDocument/2006/relationships" r:id="Rbdd7e96fc8e24555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8" hidden="0" customWidth="1"/>
    <x:col min="3" max="3" width="28" hidden="0" customWidth="1"/>
    <x:col min="4" max="4" width="28" hidden="0" customWidth="1"/>
    <x:col min="5" max="5" width="18" hidden="0" customWidth="1"/>
    <x:col min="6" max="6" width="30" hidden="0" customWidth="1"/>
    <x:col min="7" max="7" width="34" hidden="0" customWidth="1"/>
    <x:col min="8" max="8" width="55" hidden="0" customWidth="1"/>
    <x:col min="9" max="9" width="31" hidden="0" customWidth="1"/>
    <x:col min="10" max="10" width="16" hidden="0" customWidth="1"/>
    <x:col min="11" max="11" width="14" hidden="0" customWidth="1"/>
    <x:col min="12" max="12" width="14" hidden="0" customWidth="1"/>
    <x:col min="13" max="13" width="55" hidden="0" customWidth="1"/>
    <x:col min="14" max="14" width="23" hidden="0" customWidth="1"/>
    <x:col min="15" max="15" width="23" hidden="0" customWidth="1"/>
    <x:col min="16" max="16" width="12" hidden="0" customWidth="1"/>
    <x:col min="17" max="17" width="58" hidden="0" customWidth="1"/>
    <x:col min="18" max="18" width="58" hidden="0" customWidth="1"/>
    <x:col min="19" max="19" width="58" hidden="0" customWidth="1"/>
    <x:col min="20" max="20" width="16" hidden="0" customWidth="1"/>
    <x:col min="21" max="21" width="16" hidden="0" customWidth="1"/>
    <x:col min="22" max="22" width="14" hidden="0" customWidth="1"/>
    <x:col min="23" max="23" width="18" hidden="0" customWidth="1"/>
  </x:cols>
  <x:sheetData>
    <x:row r="1" ht="32" customHeight="1">
      <x:c r="A1" s="41" t="str">
        <x:v>ID</x:v>
      </x:c>
      <x:c r="B1" s="41" t="str">
        <x:v>Current Path</x:v>
      </x:c>
      <x:c r="C1" s="41" t="str">
        <x:v>File Name</x:v>
      </x:c>
      <x:c r="D1" s="41" t="str">
        <x:v>Current Folder</x:v>
      </x:c>
      <x:c r="E1" s="41" t="str">
        <x:v>Recommended Area</x:v>
      </x:c>
      <x:c r="F1" s="41" t="str">
        <x:v>Recommended Folder</x:v>
      </x:c>
      <x:c r="G1" s="41" t="str">
        <x:v>Recommended File Name</x:v>
      </x:c>
      <x:c r="H1" s="41" t="str">
        <x:v>Final Path</x:v>
      </x:c>
      <x:c r="I1" s="41" t="str">
        <x:v>Action</x:v>
      </x:c>
      <x:c r="J1" s="41" t="str">
        <x:v>Keep in Active Repo</x:v>
      </x:c>
      <x:c r="K1" s="41" t="str">
        <x:v>Imported By Count</x:v>
      </x:c>
      <x:c r="L1" s="41" t="str">
        <x:v>Referenced By Count</x:v>
      </x:c>
      <x:c r="M1" s="41" t="str">
        <x:v>Known Callers / References</x:v>
      </x:c>
      <x:c r="N1" s="41" t="str">
        <x:v>Inventory Primary Stage</x:v>
      </x:c>
      <x:c r="O1" s="41" t="str">
        <x:v>Inventory Secondary Stages</x:v>
      </x:c>
      <x:c r="P1" s="41" t="str">
        <x:v>Confidence</x:v>
      </x:c>
      <x:c r="Q1" s="41" t="str">
        <x:v>Reason</x:v>
      </x:c>
      <x:c r="R1" s="41" t="str">
        <x:v>Migration Safety Note</x:v>
      </x:c>
      <x:c r="S1" s="41" t="str">
        <x:v>GitHub Source</x:v>
      </x:c>
      <x:c r="T1" s="41" t="str">
        <x:v>Tracked</x:v>
      </x:c>
      <x:c r="U1" s="41" t="str">
        <x:v>Compatibility Wrapper Needed</x:v>
      </x:c>
      <x:c r="V1" s="41" t="str">
        <x:v>Size Bytes</x:v>
      </x:c>
      <x:c r="W1" s="41" t="str">
        <x:v>Review Status</x:v>
      </x:c>
    </x:row>
    <x:row r="2">
      <x:c r="A2" s="62" t="n">
        <x:v>1</x:v>
      </x:c>
      <x:c r="B2" s="63" t="str">
        <x:v>src/backend_legacy/IT-test</x:v>
      </x:c>
      <x:c r="C2" s="63" t="str">
        <x:v>IT-test</x:v>
      </x:c>
      <x:c r="D2" s="63" t="str">
        <x:v>src/backend_legacy</x:v>
      </x:c>
      <x:c r="E2" s="63" t="str">
        <x:v>legacy</x:v>
      </x:c>
      <x:c r="F2" s="63" t="str">
        <x:v>legacy/src_prototypes/</x:v>
      </x:c>
      <x:c r="G2" s="63" t="str">
        <x:v>it_policy_chat.py</x:v>
      </x:c>
      <x:c r="H2" s="63" t="str">
        <x:v>legacy/src_prototypes/it_policy_chat.py</x:v>
      </x:c>
      <x:c r="I2" s="63" t="str">
        <x:v>LEGACY</x:v>
      </x:c>
      <x:c r="J2" s="64" t="b">
        <x:v>0</x:v>
      </x:c>
      <x:c r="K2" s="63" t="n">
        <x:v>0</x:v>
      </x:c>
      <x:c r="L2" s="63" t="n">
        <x:v>0</x:v>
      </x:c>
      <x:c r="M2" s="63" t="str"/>
      <x:c r="N2" s="63" t="str">
        <x:v>unclassified</x:v>
      </x:c>
      <x:c r="O2" s="63" t="str"/>
      <x:c r="P2" s="65" t="n">
        <x:v>0.98</x:v>
      </x:c>
      <x:c r="Q2" s="63" t="str">
        <x:v>Standalone IT-policy chatbot prototype; unreferenced and outside TRACE-Net runtime.</x:v>
      </x:c>
      <x:c r="R2" s="63" t="str">
        <x:v>No active import path found. Archive rather than delete.</x:v>
      </x:c>
      <x:c r="S2" s="63" t="str">
        <x:v>https://github.com/jwild2027/heico-ai-internship-summer-2026/blob/srv/src/backend_legacy/IT-test</x:v>
      </x:c>
      <x:c r="T2" s="64" t="b">
        <x:v>1</x:v>
      </x:c>
      <x:c r="U2" s="64" t="b">
        <x:v>0</x:v>
      </x:c>
      <x:c r="V2" s="66" t="n">
        <x:v>8866</x:v>
      </x:c>
      <x:c r="W2" s="63" t="str">
        <x:v>Legacy review</x:v>
      </x:c>
    </x:row>
    <x:row r="3">
      <x:c r="A3" s="62" t="n">
        <x:v>2</x:v>
      </x:c>
      <x:c r="B3" s="63" t="str">
        <x:v>src/backend_legacy/doc_ingest.py</x:v>
      </x:c>
      <x:c r="C3" s="63" t="str">
        <x:v>doc_ingest.py</x:v>
      </x:c>
      <x:c r="D3" s="63" t="str">
        <x:v>src/backend_legacy</x:v>
      </x:c>
      <x:c r="E3" s="63" t="str">
        <x:v>ingestion</x:v>
      </x:c>
      <x:c r="F3" s="63" t="str">
        <x:v>src/trace_net/ingestion/</x:v>
      </x:c>
      <x:c r="G3" s="63" t="str">
        <x:v>pdf_ingestion_pipeline.py</x:v>
      </x:c>
      <x:c r="H3" s="63" t="str">
        <x:v>src/trace_net/ingestion/pdf_ingestion_pipeline.py</x:v>
      </x:c>
      <x:c r="I3" s="63" t="str">
        <x:v>MOVE_RENAME_UPDATE_IMPORTS</x:v>
      </x:c>
      <x:c r="J3" s="64" t="b">
        <x:v>1</x:v>
      </x:c>
      <x:c r="K3" s="63" t="n">
        <x:v>7</x:v>
      </x:c>
      <x:c r="L3" s="63" t="n">
        <x:v>0</x:v>
      </x:c>
      <x:c r="M3" s="63" t="str">
        <x:v>src/ingest/pdf/gemma3_4b.py; src/ingest/pdf/llama3_8b.py; src/ingest/pdf/pdfplumber_ingest.py; src/ingest/pdf/phi3_mini.py; src/ingest/pdf/pymupdf_ingest.py; src/ingest/pdf/pypdf_ingest.py; src/ingest/pdf/unstructured_ingest.py</x:v>
      </x:c>
      <x:c r="N3" s="63" t="str">
        <x:v>ingestion</x:v>
      </x:c>
      <x:c r="O3" s="63" t="str"/>
      <x:c r="P3" s="65" t="n">
        <x:v>0.99</x:v>
      </x:c>
      <x:c r="Q3" s="63" t="str">
        <x:v>Active shared PDF ingestion and summarization implementation used by seven extractor/model wrappers.</x:v>
      </x:c>
      <x:c r="R3" s="63" t="str">
        <x:v>Update all src.backend_legacy.doc_ingest imports; leave compatibility wrapper during migration.</x:v>
      </x:c>
      <x:c r="S3" s="63" t="str">
        <x:v>https://github.com/jwild2027/heico-ai-internship-summer-2026/blob/srv/src/backend_legacy/doc_ingest.py</x:v>
      </x:c>
      <x:c r="T3" s="64" t="b">
        <x:v>1</x:v>
      </x:c>
      <x:c r="U3" s="64" t="b">
        <x:v>1</x:v>
      </x:c>
      <x:c r="V3" s="66" t="n">
        <x:v>19196</x:v>
      </x:c>
      <x:c r="W3" s="63" t="str">
        <x:v>Import migration</x:v>
      </x:c>
    </x:row>
    <x:row r="4">
      <x:c r="A4" s="62" t="n">
        <x:v>3</x:v>
      </x:c>
      <x:c r="B4" s="63" t="str">
        <x:v>src/backend_legacy/dt.py</x:v>
      </x:c>
      <x:c r="C4" s="63" t="str">
        <x:v>dt.py</x:v>
      </x:c>
      <x:c r="D4" s="63" t="str">
        <x:v>src/backend_legacy</x:v>
      </x:c>
      <x:c r="E4" s="63" t="str">
        <x:v>legacy</x:v>
      </x:c>
      <x:c r="F4" s="63" t="str">
        <x:v>legacy/src_prototypes/</x:v>
      </x:c>
      <x:c r="G4" s="63" t="str">
        <x:v>chroma_quick_demo.py</x:v>
      </x:c>
      <x:c r="H4" s="63" t="str">
        <x:v>legacy/src_prototypes/chroma_quick_demo.py</x:v>
      </x:c>
      <x:c r="I4" s="63" t="str">
        <x:v>LEGACY</x:v>
      </x:c>
      <x:c r="J4" s="64" t="b">
        <x:v>0</x:v>
      </x:c>
      <x:c r="K4" s="63" t="n">
        <x:v>0</x:v>
      </x:c>
      <x:c r="L4" s="63" t="n">
        <x:v>0</x:v>
      </x:c>
      <x:c r="M4" s="63" t="str"/>
      <x:c r="N4" s="63" t="str">
        <x:v>unclassified</x:v>
      </x:c>
      <x:c r="O4" s="63" t="str"/>
      <x:c r="P4" s="65" t="n">
        <x:v>0.99</x:v>
      </x:c>
      <x:c r="Q4" s="63" t="str">
        <x:v>Tiny Chroma pineapple/orange demonstration; no repository consumer.</x:v>
      </x:c>
      <x:c r="R4" s="63" t="str">
        <x:v>Archive; not production vector-store code.</x:v>
      </x:c>
      <x:c r="S4" s="63" t="str">
        <x:v>https://github.com/jwild2027/heico-ai-internship-summer-2026/blob/srv/src/backend_legacy/dt.py</x:v>
      </x:c>
      <x:c r="T4" s="64" t="b">
        <x:v>1</x:v>
      </x:c>
      <x:c r="U4" s="64" t="b">
        <x:v>0</x:v>
      </x:c>
      <x:c r="V4" s="66" t="n">
        <x:v>672</x:v>
      </x:c>
      <x:c r="W4" s="63" t="str">
        <x:v>Legacy review</x:v>
      </x:c>
    </x:row>
    <x:row r="5">
      <x:c r="A5" s="62" t="n">
        <x:v>4</x:v>
      </x:c>
      <x:c r="B5" s="63" t="str">
        <x:v>src/backend_legacy/embed</x:v>
      </x:c>
      <x:c r="C5" s="63" t="str">
        <x:v>embed</x:v>
      </x:c>
      <x:c r="D5" s="63" t="str">
        <x:v>src/backend_legacy</x:v>
      </x:c>
      <x:c r="E5" s="63" t="str">
        <x:v>legacy</x:v>
      </x:c>
      <x:c r="F5" s="63" t="str">
        <x:v>legacy/src_prototypes/</x:v>
      </x:c>
      <x:c r="G5" s="63" t="str">
        <x:v>gemma_context_graph_demo.py</x:v>
      </x:c>
      <x:c r="H5" s="63" t="str">
        <x:v>legacy/src_prototypes/gemma_context_graph_demo.py</x:v>
      </x:c>
      <x:c r="I5" s="63" t="str">
        <x:v>LEGACY</x:v>
      </x:c>
      <x:c r="J5" s="64" t="b">
        <x:v>0</x:v>
      </x:c>
      <x:c r="K5" s="63" t="n">
        <x:v>0</x:v>
      </x:c>
      <x:c r="L5" s="63" t="n">
        <x:v>2</x:v>
      </x:c>
      <x:c r="M5" s="63" t="str">
        <x:v>tests/unit/test_trace_net_page_retrieval_profiles_v1.py; tests/unit/test_trace_net_qdrant_loader_v1.py</x:v>
      </x:c>
      <x:c r="N5" s="63" t="str">
        <x:v>embeddings</x:v>
      </x:c>
      <x:c r="O5" s="63" t="str"/>
      <x:c r="P5" s="65" t="n">
        <x:v>0.99</x:v>
      </x:c>
      <x:c r="Q5" s="63" t="str">
        <x:v>File describes itself as an experimental context graph and explicitly not a real vector-embedding pipeline.</x:v>
      </x:c>
      <x:c r="R5" s="63" t="str">
        <x:v>References reported by generic filename matching are not Python imports.</x:v>
      </x:c>
      <x:c r="S5" s="63" t="str">
        <x:v>https://github.com/jwild2027/heico-ai-internship-summer-2026/blob/srv/src/backend_legacy/embed</x:v>
      </x:c>
      <x:c r="T5" s="64" t="b">
        <x:v>1</x:v>
      </x:c>
      <x:c r="U5" s="64" t="b">
        <x:v>0</x:v>
      </x:c>
      <x:c r="V5" s="66" t="n">
        <x:v>4241</x:v>
      </x:c>
      <x:c r="W5" s="63" t="str">
        <x:v>Legacy review</x:v>
      </x:c>
    </x:row>
    <x:row r="6">
      <x:c r="A6" s="62" t="n">
        <x:v>5</x:v>
      </x:c>
      <x:c r="B6" s="63" t="str">
        <x:v>src/backend_legacy/example-code</x:v>
      </x:c>
      <x:c r="C6" s="63" t="str">
        <x:v>example-code</x:v>
      </x:c>
      <x:c r="D6" s="63" t="str">
        <x:v>src/backend_legacy</x:v>
      </x:c>
      <x:c r="E6" s="63" t="str">
        <x:v>legacy</x:v>
      </x:c>
      <x:c r="F6" s="63" t="str">
        <x:v>legacy/src_prototypes/</x:v>
      </x:c>
      <x:c r="G6" s="63" t="str">
        <x:v>ollama_chat_demo.py</x:v>
      </x:c>
      <x:c r="H6" s="63" t="str">
        <x:v>legacy/src_prototypes/ollama_chat_demo.py</x:v>
      </x:c>
      <x:c r="I6" s="63" t="str">
        <x:v>LEGACY</x:v>
      </x:c>
      <x:c r="J6" s="64" t="b">
        <x:v>0</x:v>
      </x:c>
      <x:c r="K6" s="63" t="n">
        <x:v>0</x:v>
      </x:c>
      <x:c r="L6" s="63" t="n">
        <x:v>0</x:v>
      </x:c>
      <x:c r="M6" s="63" t="str"/>
      <x:c r="N6" s="63" t="str">
        <x:v>unclassified</x:v>
      </x:c>
      <x:c r="O6" s="63" t="str"/>
      <x:c r="P6" s="65" t="n">
        <x:v>0.99</x:v>
      </x:c>
      <x:c r="Q6" s="63" t="str">
        <x:v>Generic Gemma chat example with no TRACE-Net integration or callers.</x:v>
      </x:c>
      <x:c r="R6" s="63" t="str">
        <x:v>Archive as historical prototype.</x:v>
      </x:c>
      <x:c r="S6" s="63" t="str">
        <x:v>https://github.com/jwild2027/heico-ai-internship-summer-2026/blob/srv/src/backend_legacy/example-code</x:v>
      </x:c>
      <x:c r="T6" s="64" t="b">
        <x:v>1</x:v>
      </x:c>
      <x:c r="U6" s="64" t="b">
        <x:v>0</x:v>
      </x:c>
      <x:c r="V6" s="66" t="n">
        <x:v>2429</x:v>
      </x:c>
      <x:c r="W6" s="63" t="str">
        <x:v>Legacy review</x:v>
      </x:c>
    </x:row>
    <x:row r="7">
      <x:c r="A7" s="62" t="n">
        <x:v>6</x:v>
      </x:c>
      <x:c r="B7" s="63" t="str">
        <x:v>src/backend_legacy/gen.py</x:v>
      </x:c>
      <x:c r="C7" s="63" t="str">
        <x:v>gen.py</x:v>
      </x:c>
      <x:c r="D7" s="63" t="str">
        <x:v>src/backend_legacy</x:v>
      </x:c>
      <x:c r="E7" s="63" t="str">
        <x:v>benchmark</x:v>
      </x:c>
      <x:c r="F7" s="63" t="str">
        <x:v>scripts/benchmark/</x:v>
      </x:c>
      <x:c r="G7" s="63" t="str">
        <x:v>ollama_concurrency_benchmark.py</x:v>
      </x:c>
      <x:c r="H7" s="63" t="str">
        <x:v>scripts/benchmark/ollama_concurrency_benchmark.py</x:v>
      </x:c>
      <x:c r="I7" s="63" t="str">
        <x:v>MOVE_RENAME</x:v>
      </x:c>
      <x:c r="J7" s="64" t="b">
        <x:v>1</x:v>
      </x:c>
      <x:c r="K7" s="63" t="n">
        <x:v>0</x:v>
      </x:c>
      <x:c r="L7" s="63" t="n">
        <x:v>0</x:v>
      </x:c>
      <x:c r="M7" s="63" t="str"/>
      <x:c r="N7" s="63" t="str">
        <x:v>benchmarks</x:v>
      </x:c>
      <x:c r="O7" s="63" t="str"/>
      <x:c r="P7" s="65" t="n">
        <x:v>0.97</x:v>
      </x:c>
      <x:c r="Q7" s="63" t="str">
        <x:v>Standalone concurrent Ollama timing/behavior benchmark; executable tool rather than importable library.</x:v>
      </x:c>
      <x:c r="R7" s="63" t="str">
        <x:v>No imports need preservation; test command after move.</x:v>
      </x:c>
      <x:c r="S7" s="63" t="str">
        <x:v>https://github.com/jwild2027/heico-ai-internship-summer-2026/blob/srv/src/backend_legacy/gen.py</x:v>
      </x:c>
      <x:c r="T7" s="64" t="b">
        <x:v>1</x:v>
      </x:c>
      <x:c r="U7" s="64" t="b">
        <x:v>0</x:v>
      </x:c>
      <x:c r="V7" s="66" t="n">
        <x:v>7040</x:v>
      </x:c>
      <x:c r="W7" s="63" t="str">
        <x:v>Straight move</x:v>
      </x:c>
    </x:row>
    <x:row r="8">
      <x:c r="A8" s="62" t="n">
        <x:v>7</x:v>
      </x:c>
      <x:c r="B8" s="63" t="str">
        <x:v>src/backend_legacy/image_rec.py</x:v>
      </x:c>
      <x:c r="C8" s="63" t="str">
        <x:v>image_rec.py</x:v>
      </x:c>
      <x:c r="D8" s="63" t="str">
        <x:v>src/backend_legacy</x:v>
      </x:c>
      <x:c r="E8" s="63" t="str">
        <x:v>legacy</x:v>
      </x:c>
      <x:c r="F8" s="63" t="str">
        <x:v>legacy/src_prototypes/</x:v>
      </x:c>
      <x:c r="G8" s="63" t="str">
        <x:v>qwen_image_recognition_demo.py</x:v>
      </x:c>
      <x:c r="H8" s="63" t="str">
        <x:v>legacy/src_prototypes/qwen_image_recognition_demo.py</x:v>
      </x:c>
      <x:c r="I8" s="63" t="str">
        <x:v>LEGACY</x:v>
      </x:c>
      <x:c r="J8" s="64" t="b">
        <x:v>0</x:v>
      </x:c>
      <x:c r="K8" s="63" t="n">
        <x:v>0</x:v>
      </x:c>
      <x:c r="L8" s="63" t="n">
        <x:v>0</x:v>
      </x:c>
      <x:c r="M8" s="63" t="str"/>
      <x:c r="N8" s="63" t="str">
        <x:v>visual</x:v>
      </x:c>
      <x:c r="O8" s="63" t="str"/>
      <x:c r="P8" s="65" t="n">
        <x:v>0.99</x:v>
      </x:c>
      <x:c r="Q8" s="63" t="str">
        <x:v>Unreferenced image-recognition prototype using qwen3-vl rather than the active LLaVA/Gemma visual route.</x:v>
      </x:c>
      <x:c r="R8" s="63" t="str">
        <x:v>Archive; do not merge into active visual package.</x:v>
      </x:c>
      <x:c r="S8" s="63" t="str">
        <x:v>https://github.com/jwild2027/heico-ai-internship-summer-2026/blob/srv/src/backend_legacy/image_rec.py</x:v>
      </x:c>
      <x:c r="T8" s="64" t="b">
        <x:v>1</x:v>
      </x:c>
      <x:c r="U8" s="64" t="b">
        <x:v>0</x:v>
      </x:c>
      <x:c r="V8" s="66" t="n">
        <x:v>2412</x:v>
      </x:c>
      <x:c r="W8" s="63" t="str">
        <x:v>Legacy review</x:v>
      </x:c>
    </x:row>
    <x:row r="9">
      <x:c r="A9" s="62" t="n">
        <x:v>8</x:v>
      </x:c>
      <x:c r="B9" s="63" t="str">
        <x:v>src/backend_legacy/multi-model.py</x:v>
      </x:c>
      <x:c r="C9" s="63" t="str">
        <x:v>multi-model.py</x:v>
      </x:c>
      <x:c r="D9" s="63" t="str">
        <x:v>src/backend_legacy</x:v>
      </x:c>
      <x:c r="E9" s="63" t="str">
        <x:v>benchmark</x:v>
      </x:c>
      <x:c r="F9" s="63" t="str">
        <x:v>scripts/benchmark/</x:v>
      </x:c>
      <x:c r="G9" s="63" t="str">
        <x:v>ollama_model_comparison.py</x:v>
      </x:c>
      <x:c r="H9" s="63" t="str">
        <x:v>scripts/benchmark/ollama_model_comparison.py</x:v>
      </x:c>
      <x:c r="I9" s="63" t="str">
        <x:v>MOVE_RENAME</x:v>
      </x:c>
      <x:c r="J9" s="64" t="b">
        <x:v>1</x:v>
      </x:c>
      <x:c r="K9" s="63" t="n">
        <x:v>0</x:v>
      </x:c>
      <x:c r="L9" s="63" t="n">
        <x:v>0</x:v>
      </x:c>
      <x:c r="M9" s="63" t="str"/>
      <x:c r="N9" s="63" t="str">
        <x:v>ingestion</x:v>
      </x:c>
      <x:c r="O9" s="63" t="str"/>
      <x:c r="P9" s="65" t="n">
        <x:v>0.98</x:v>
      </x:c>
      <x:c r="Q9" s="63" t="str">
        <x:v>Standalone multi-model latency comparison CLI; useful benchmark but not library code.</x:v>
      </x:c>
      <x:c r="R9" s="63" t="str">
        <x:v>Keep as benchmark script; update usage docs.</x:v>
      </x:c>
      <x:c r="S9" s="63" t="str">
        <x:v>https://github.com/jwild2027/heico-ai-internship-summer-2026/blob/srv/src/backend_legacy/multi-model.py</x:v>
      </x:c>
      <x:c r="T9" s="64" t="b">
        <x:v>1</x:v>
      </x:c>
      <x:c r="U9" s="64" t="b">
        <x:v>0</x:v>
      </x:c>
      <x:c r="V9" s="66" t="n">
        <x:v>5692</x:v>
      </x:c>
      <x:c r="W9" s="63" t="str">
        <x:v>Straight move</x:v>
      </x:c>
    </x:row>
    <x:row r="10">
      <x:c r="A10" s="62" t="n">
        <x:v>9</x:v>
      </x:c>
      <x:c r="B10" s="63" t="str">
        <x:v>src/backend_legacy/photo_detect.py</x:v>
      </x:c>
      <x:c r="C10" s="63" t="str">
        <x:v>photo_detect.py</x:v>
      </x:c>
      <x:c r="D10" s="63" t="str">
        <x:v>src/backend_legacy</x:v>
      </x:c>
      <x:c r="E10" s="63" t="str">
        <x:v>legacy</x:v>
      </x:c>
      <x:c r="F10" s="63" t="str">
        <x:v>legacy/src_prototypes/</x:v>
      </x:c>
      <x:c r="G10" s="63" t="str">
        <x:v>qwen_photo_matching_demo.py</x:v>
      </x:c>
      <x:c r="H10" s="63" t="str">
        <x:v>legacy/src_prototypes/qwen_photo_matching_demo.py</x:v>
      </x:c>
      <x:c r="I10" s="63" t="str">
        <x:v>LEGACY</x:v>
      </x:c>
      <x:c r="J10" s="64" t="b">
        <x:v>0</x:v>
      </x:c>
      <x:c r="K10" s="63" t="n">
        <x:v>0</x:v>
      </x:c>
      <x:c r="L10" s="63" t="n">
        <x:v>0</x:v>
      </x:c>
      <x:c r="M10" s="63" t="str"/>
      <x:c r="N10" s="63" t="str">
        <x:v>serving</x:v>
      </x:c>
      <x:c r="O10" s="63" t="str"/>
      <x:c r="P10" s="65" t="n">
        <x:v>0.99</x:v>
      </x:c>
      <x:c r="Q10" s="63" t="str">
        <x:v>Unreferenced local-image matching prototype using qwen3-vl and a local images folder.</x:v>
      </x:c>
      <x:c r="R10" s="63" t="str">
        <x:v>Archive; not part of active TRACE-Net visual evidence route.</x:v>
      </x:c>
      <x:c r="S10" s="63" t="str">
        <x:v>https://github.com/jwild2027/heico-ai-internship-summer-2026/blob/srv/src/backend_legacy/photo_detect.py</x:v>
      </x:c>
      <x:c r="T10" s="64" t="b">
        <x:v>1</x:v>
      </x:c>
      <x:c r="U10" s="64" t="b">
        <x:v>0</x:v>
      </x:c>
      <x:c r="V10" s="66" t="n">
        <x:v>9632</x:v>
      </x:c>
      <x:c r="W10" s="63" t="str">
        <x:v>Legacy review</x:v>
      </x:c>
    </x:row>
    <x:row r="11">
      <x:c r="A11" s="62" t="n">
        <x:v>10</x:v>
      </x:c>
      <x:c r="B11" s="63" t="str">
        <x:v>src/backend_legacy/test.py</x:v>
      </x:c>
      <x:c r="C11" s="63" t="str">
        <x:v>test.py</x:v>
      </x:c>
      <x:c r="D11" s="63" t="str">
        <x:v>src/backend_legacy</x:v>
      </x:c>
      <x:c r="E11" s="63" t="str">
        <x:v>legacy</x:v>
      </x:c>
      <x:c r="F11" s="63" t="str">
        <x:v>legacy/vendor_snapshots/</x:v>
      </x:c>
      <x:c r="G11" s="63" t="str">
        <x:v>ollama_client_models_snapshot.py</x:v>
      </x:c>
      <x:c r="H11" s="63" t="str">
        <x:v>legacy/vendor_snapshots/ollama_client_models_snapshot.py</x:v>
      </x:c>
      <x:c r="I11" s="63" t="str">
        <x:v>LEGACY</x:v>
      </x:c>
      <x:c r="J11" s="64" t="b">
        <x:v>0</x:v>
      </x:c>
      <x:c r="K11" s="63" t="n">
        <x:v>0</x:v>
      </x:c>
      <x:c r="L11" s="63" t="n">
        <x:v>0</x:v>
      </x:c>
      <x:c r="M11" s="63" t="str"/>
      <x:c r="N11" s="63" t="str">
        <x:v>embeddings</x:v>
      </x:c>
      <x:c r="O11" s="63" t="str">
        <x:v>shared</x:v>
      </x:c>
      <x:c r="P11" s="65" t="n">
        <x:v>0.98</x:v>
      </x:c>
      <x:c r="Q11" s="63" t="str">
        <x:v>Large copied Pydantic request/response model snapshot; no callers and not a project test.</x:v>
      </x:c>
      <x:c r="R11" s="63" t="str">
        <x:v>Archive for reference only; rely on installed Ollama package types.</x:v>
      </x:c>
      <x:c r="S11" s="63" t="str">
        <x:v>https://github.com/jwild2027/heico-ai-internship-summer-2026/blob/srv/src/backend_legacy/test.py</x:v>
      </x:c>
      <x:c r="T11" s="64" t="b">
        <x:v>1</x:v>
      </x:c>
      <x:c r="U11" s="64" t="b">
        <x:v>0</x:v>
      </x:c>
      <x:c r="V11" s="66" t="n">
        <x:v>17892</x:v>
      </x:c>
      <x:c r="W11" s="63" t="str">
        <x:v>Legacy review</x:v>
      </x:c>
    </x:row>
    <x:row r="12">
      <x:c r="A12" s="62" t="n">
        <x:v>11</x:v>
      </x:c>
      <x:c r="B12" s="63" t="str">
        <x:v>src/benchmarks/embedding_benchmark.py</x:v>
      </x:c>
      <x:c r="C12" s="63" t="str">
        <x:v>embedding_benchmark.py</x:v>
      </x:c>
      <x:c r="D12" s="63" t="str">
        <x:v>src/benchmarks</x:v>
      </x:c>
      <x:c r="E12" s="63" t="str">
        <x:v>benchmark</x:v>
      </x:c>
      <x:c r="F12" s="63" t="str">
        <x:v>scripts/benchmark/</x:v>
      </x:c>
      <x:c r="G12" s="63" t="str">
        <x:v>embedding_benchmark_v1.py</x:v>
      </x:c>
      <x:c r="H12" s="63" t="str">
        <x:v>scripts/benchmark/embedding_benchmark_v1.py</x:v>
      </x:c>
      <x:c r="I12" s="63" t="str">
        <x:v>MOVE_RENAME</x:v>
      </x:c>
      <x:c r="J12" s="64" t="b">
        <x:v>1</x:v>
      </x:c>
      <x:c r="K12" s="63" t="n">
        <x:v>0</x:v>
      </x:c>
      <x:c r="L12" s="63" t="n">
        <x:v>0</x:v>
      </x:c>
      <x:c r="M12" s="63" t="str"/>
      <x:c r="N12" s="63" t="str">
        <x:v>benchmarks</x:v>
      </x:c>
      <x:c r="O12" s="63" t="str">
        <x:v>embeddings, serving, tables</x:v>
      </x:c>
      <x:c r="P12" s="65" t="n">
        <x:v>0.99</x:v>
      </x:c>
      <x:c r="Q12" s="63" t="str">
        <x:v>Executable embedding-model retrieval benchmark with built-in corpus and queries.</x:v>
      </x:c>
      <x:c r="R12" s="63" t="str">
        <x:v>Keep all benchmark variants until results are compared.</x:v>
      </x:c>
      <x:c r="S12" s="63" t="str">
        <x:v>https://github.com/jwild2027/heico-ai-internship-summer-2026/blob/srv/src/benchmarks/embedding_benchmark.py</x:v>
      </x:c>
      <x:c r="T12" s="64" t="b">
        <x:v>1</x:v>
      </x:c>
      <x:c r="U12" s="64" t="b">
        <x:v>0</x:v>
      </x:c>
      <x:c r="V12" s="66" t="n">
        <x:v>16988</x:v>
      </x:c>
      <x:c r="W12" s="63" t="str">
        <x:v>Straight move</x:v>
      </x:c>
    </x:row>
    <x:row r="13">
      <x:c r="A13" s="62" t="n">
        <x:v>12</x:v>
      </x:c>
      <x:c r="B13" s="63" t="str">
        <x:v>src/benchmarks/embedding_benchmark_final.py</x:v>
      </x:c>
      <x:c r="C13" s="63" t="str">
        <x:v>embedding_benchmark_final.py</x:v>
      </x:c>
      <x:c r="D13" s="63" t="str">
        <x:v>src/benchmarks</x:v>
      </x:c>
      <x:c r="E13" s="63" t="str">
        <x:v>benchmark</x:v>
      </x:c>
      <x:c r="F13" s="63" t="str">
        <x:v>scripts/benchmark/</x:v>
      </x:c>
      <x:c r="G13" s="63" t="str">
        <x:v>embedding_benchmark_final.py</x:v>
      </x:c>
      <x:c r="H13" s="63" t="str">
        <x:v>scripts/benchmark/embedding_benchmark_final.py</x:v>
      </x:c>
      <x:c r="I13" s="63" t="str">
        <x:v>MOVE</x:v>
      </x:c>
      <x:c r="J13" s="64" t="b">
        <x:v>1</x:v>
      </x:c>
      <x:c r="K13" s="63" t="n">
        <x:v>0</x:v>
      </x:c>
      <x:c r="L13" s="63" t="n">
        <x:v>0</x:v>
      </x:c>
      <x:c r="M13" s="63" t="str"/>
      <x:c r="N13" s="63" t="str">
        <x:v>benchmarks</x:v>
      </x:c>
      <x:c r="O13" s="63" t="str">
        <x:v>embeddings, tables, ocr, serving</x:v>
      </x:c>
      <x:c r="P13" s="65" t="n">
        <x:v>0.99</x:v>
      </x:c>
      <x:c r="Q13" s="63" t="str">
        <x:v>Executable final embedding benchmark variant; does not belong in importable src package.</x:v>
      </x:c>
      <x:c r="R13" s="63" t="str">
        <x:v>Keep; no active callers.</x:v>
      </x:c>
      <x:c r="S13" s="63" t="str">
        <x:v>https://github.com/jwild2027/heico-ai-internship-summer-2026/blob/srv/src/benchmarks/embedding_benchmark_final.py</x:v>
      </x:c>
      <x:c r="T13" s="64" t="b">
        <x:v>1</x:v>
      </x:c>
      <x:c r="U13" s="64" t="b">
        <x:v>0</x:v>
      </x:c>
      <x:c r="V13" s="66" t="n">
        <x:v>24780</x:v>
      </x:c>
      <x:c r="W13" s="63" t="str">
        <x:v>Straight move</x:v>
      </x:c>
    </x:row>
    <x:row r="14">
      <x:c r="A14" s="62" t="n">
        <x:v>13</x:v>
      </x:c>
      <x:c r="B14" s="63" t="str">
        <x:v>src/benchmarks/embedding_benchmark_harder.py</x:v>
      </x:c>
      <x:c r="C14" s="63" t="str">
        <x:v>embedding_benchmark_harder.py</x:v>
      </x:c>
      <x:c r="D14" s="63" t="str">
        <x:v>src/benchmarks</x:v>
      </x:c>
      <x:c r="E14" s="63" t="str">
        <x:v>benchmark</x:v>
      </x:c>
      <x:c r="F14" s="63" t="str">
        <x:v>scripts/benchmark/</x:v>
      </x:c>
      <x:c r="G14" s="63" t="str">
        <x:v>embedding_benchmark_harder.py</x:v>
      </x:c>
      <x:c r="H14" s="63" t="str">
        <x:v>scripts/benchmark/embedding_benchmark_harder.py</x:v>
      </x:c>
      <x:c r="I14" s="63" t="str">
        <x:v>MOVE</x:v>
      </x:c>
      <x:c r="J14" s="64" t="b">
        <x:v>1</x:v>
      </x:c>
      <x:c r="K14" s="63" t="n">
        <x:v>0</x:v>
      </x:c>
      <x:c r="L14" s="63" t="n">
        <x:v>0</x:v>
      </x:c>
      <x:c r="M14" s="63" t="str"/>
      <x:c r="N14" s="63" t="str">
        <x:v>benchmarks</x:v>
      </x:c>
      <x:c r="O14" s="63" t="str">
        <x:v>embeddings, tables</x:v>
      </x:c>
      <x:c r="P14" s="65" t="n">
        <x:v>0.99</x:v>
      </x:c>
      <x:c r="Q14" s="63" t="str">
        <x:v>Executable harder embedding benchmark variant; does not belong in importable src package.</x:v>
      </x:c>
      <x:c r="R14" s="63" t="str">
        <x:v>Keep; no active callers.</x:v>
      </x:c>
      <x:c r="S14" s="63" t="str">
        <x:v>https://github.com/jwild2027/heico-ai-internship-summer-2026/blob/srv/src/benchmarks/embedding_benchmark_harder.py</x:v>
      </x:c>
      <x:c r="T14" s="64" t="b">
        <x:v>1</x:v>
      </x:c>
      <x:c r="U14" s="64" t="b">
        <x:v>0</x:v>
      </x:c>
      <x:c r="V14" s="66" t="n">
        <x:v>18424</x:v>
      </x:c>
      <x:c r="W14" s="63" t="str">
        <x:v>Straight move</x:v>
      </x:c>
    </x:row>
    <x:row r="15">
      <x:c r="A15" s="62" t="n">
        <x:v>14</x:v>
      </x:c>
      <x:c r="B15" s="63" t="str">
        <x:v>src/benchmarks/latency-test.py</x:v>
      </x:c>
      <x:c r="C15" s="63" t="str">
        <x:v>latency-test.py</x:v>
      </x:c>
      <x:c r="D15" s="63" t="str">
        <x:v>src/benchmarks</x:v>
      </x:c>
      <x:c r="E15" s="63" t="str">
        <x:v>benchmark</x:v>
      </x:c>
      <x:c r="F15" s="63" t="str">
        <x:v>scripts/benchmark/</x:v>
      </x:c>
      <x:c r="G15" s="63" t="str">
        <x:v>ollama_latency_benchmark.py</x:v>
      </x:c>
      <x:c r="H15" s="63" t="str">
        <x:v>scripts/benchmark/ollama_latency_benchmark.py</x:v>
      </x:c>
      <x:c r="I15" s="63" t="str">
        <x:v>MOVE_RENAME</x:v>
      </x:c>
      <x:c r="J15" s="64" t="b">
        <x:v>1</x:v>
      </x:c>
      <x:c r="K15" s="63" t="n">
        <x:v>0</x:v>
      </x:c>
      <x:c r="L15" s="63" t="n">
        <x:v>0</x:v>
      </x:c>
      <x:c r="M15" s="63" t="str"/>
      <x:c r="N15" s="63" t="str">
        <x:v>benchmarks</x:v>
      </x:c>
      <x:c r="O15" s="63" t="str"/>
      <x:c r="P15" s="65" t="n">
        <x:v>0.99</x:v>
      </x:c>
      <x:c r="Q15" s="63" t="str">
        <x:v>Standalone Ollama latency benchmark CLI.</x:v>
      </x:c>
      <x:c r="R15" s="63" t="str">
        <x:v>Rename to valid Python module style.</x:v>
      </x:c>
      <x:c r="S15" s="63" t="str">
        <x:v>https://github.com/jwild2027/heico-ai-internship-summer-2026/blob/srv/src/benchmarks/latency-test.py</x:v>
      </x:c>
      <x:c r="T15" s="64" t="b">
        <x:v>1</x:v>
      </x:c>
      <x:c r="U15" s="64" t="b">
        <x:v>0</x:v>
      </x:c>
      <x:c r="V15" s="66" t="n">
        <x:v>6149</x:v>
      </x:c>
      <x:c r="W15" s="63" t="str">
        <x:v>Straight move</x:v>
      </x:c>
    </x:row>
    <x:row r="16">
      <x:c r="A16" s="62" t="n">
        <x:v>15</x:v>
      </x:c>
      <x:c r="B16" s="63" t="str">
        <x:v>src/benchmarks/rag_benchmark.py</x:v>
      </x:c>
      <x:c r="C16" s="63" t="str">
        <x:v>rag_benchmark.py</x:v>
      </x:c>
      <x:c r="D16" s="63" t="str">
        <x:v>src/benchmarks</x:v>
      </x:c>
      <x:c r="E16" s="63" t="str">
        <x:v>ingestion</x:v>
      </x:c>
      <x:c r="F16" s="63" t="str">
        <x:v>src/trace_net/ingestion/</x:v>
      </x:c>
      <x:c r="G16" s="63" t="str">
        <x:v>rag_ingestion_pipeline.py</x:v>
      </x:c>
      <x:c r="H16" s="63" t="str">
        <x:v>src/trace_net/ingestion/rag_ingestion_pipeline.py</x:v>
      </x:c>
      <x:c r="I16" s="63" t="str">
        <x:v>SPLIT_THEN_MOVE</x:v>
      </x:c>
      <x:c r="J16" s="64" t="b">
        <x:v>1</x:v>
      </x:c>
      <x:c r="K16" s="63" t="n">
        <x:v>4</x:v>
      </x:c>
      <x:c r="L16" s="63" t="n">
        <x:v>0</x:v>
      </x:c>
      <x:c r="M16" s="63" t="str">
        <x:v>src/db/ingest_bridge.py; tests/unit/test_stage1_digestion.py; tests/unit/test_stage2_ocr_decision.py; tests/unit/test_stage3_chunking.py</x:v>
      </x:c>
      <x:c r="N16" s="63" t="str">
        <x:v>ingestion</x:v>
      </x:c>
      <x:c r="O16" s="63" t="str">
        <x:v>benchmarks, ocr, serving</x:v>
      </x:c>
      <x:c r="P16" s="65" t="n">
        <x:v>0.97</x:v>
      </x:c>
      <x:c r="Q16" s="63" t="str">
        <x:v>Despite its name, active production/tests import its page, OCR, ingestion, and retrieval helpers.</x:v>
      </x:c>
      <x:c r="R16" s="63" t="str">
        <x:v>Move active pipeline helpers here; extract benchmark CLI/cases into scripts/benchmark/rag_benchmark.py; leave compatibility wrapper.</x:v>
      </x:c>
      <x:c r="S16" s="63" t="str">
        <x:v>https://github.com/jwild2027/heico-ai-internship-summer-2026/blob/srv/src/benchmarks/rag_benchmark.py</x:v>
      </x:c>
      <x:c r="T16" s="64" t="b">
        <x:v>1</x:v>
      </x:c>
      <x:c r="U16" s="64" t="b">
        <x:v>1</x:v>
      </x:c>
      <x:c r="V16" s="66" t="n">
        <x:v>28783</x:v>
      </x:c>
      <x:c r="W16" s="63" t="str">
        <x:v>Split required</x:v>
      </x:c>
    </x:row>
    <x:row r="17">
      <x:c r="A17" s="62" t="n">
        <x:v>16</x:v>
      </x:c>
      <x:c r="B17" s="63" t="str">
        <x:v>src/chunking/chunking_strategy.py</x:v>
      </x:c>
      <x:c r="C17" s="63" t="str">
        <x:v>chunking_strategy.py</x:v>
      </x:c>
      <x:c r="D17" s="63" t="str">
        <x:v>src/chunking</x:v>
      </x:c>
      <x:c r="E17" s="63" t="str">
        <x:v>ingestion</x:v>
      </x:c>
      <x:c r="F17" s="63" t="str">
        <x:v>src/trace_net/ingestion/</x:v>
      </x:c>
      <x:c r="G17" s="63" t="str">
        <x:v>chunking_strategy.py</x:v>
      </x:c>
      <x:c r="H17" s="63" t="str">
        <x:v>src/trace_net/ingestion/chunking_strategy.py</x:v>
      </x:c>
      <x:c r="I17" s="63" t="str">
        <x:v>MOVE_UPDATE_IMPORTS</x:v>
      </x:c>
      <x:c r="J17" s="64" t="b">
        <x:v>1</x:v>
      </x:c>
      <x:c r="K17" s="63" t="n">
        <x:v>2</x:v>
      </x:c>
      <x:c r="L17" s="63" t="n">
        <x:v>0</x:v>
      </x:c>
      <x:c r="M17" s="63" t="str">
        <x:v>src/db/ingest_bridge.py; tests/unit/test_stage3_chunking.py</x:v>
      </x:c>
      <x:c r="N17" s="63" t="str">
        <x:v>ingestion</x:v>
      </x:c>
      <x:c r="O17" s="63" t="str"/>
      <x:c r="P17" s="65" t="n">
        <x:v>0.99</x:v>
      </x:c>
      <x:c r="Q17" s="63" t="str">
        <x:v>Selects flat versus parent-child chunking based on document profile; active ingestion dependency.</x:v>
      </x:c>
      <x:c r="R17" s="63" t="str">
        <x:v>Update src.db.ingest_bridge and unit-test imports; replace sys.path mutation.</x:v>
      </x:c>
      <x:c r="S17" s="63" t="str">
        <x:v>https://github.com/jwild2027/heico-ai-internship-summer-2026/blob/srv/src/chunking/chunking_strategy.py</x:v>
      </x:c>
      <x:c r="T17" s="64" t="b">
        <x:v>1</x:v>
      </x:c>
      <x:c r="U17" s="64" t="b">
        <x:v>1</x:v>
      </x:c>
      <x:c r="V17" s="66" t="n">
        <x:v>4581</x:v>
      </x:c>
      <x:c r="W17" s="63" t="str">
        <x:v>Import migration</x:v>
      </x:c>
    </x:row>
    <x:row r="18">
      <x:c r="A18" s="62" t="n">
        <x:v>17</x:v>
      </x:c>
      <x:c r="B18" s="63" t="str">
        <x:v>src/chunking/heading_detectors.py</x:v>
      </x:c>
      <x:c r="C18" s="63" t="str">
        <x:v>heading_detectors.py</x:v>
      </x:c>
      <x:c r="D18" s="63" t="str">
        <x:v>src/chunking</x:v>
      </x:c>
      <x:c r="E18" s="63" t="str">
        <x:v>ingestion</x:v>
      </x:c>
      <x:c r="F18" s="63" t="str">
        <x:v>src/trace_net/ingestion/</x:v>
      </x:c>
      <x:c r="G18" s="63" t="str">
        <x:v>heading_detectors.py</x:v>
      </x:c>
      <x:c r="H18" s="63" t="str">
        <x:v>src/trace_net/ingestion/heading_detectors.py</x:v>
      </x:c>
      <x:c r="I18" s="63" t="str">
        <x:v>MOVE_UPDATE_IMPORTS</x:v>
      </x:c>
      <x:c r="J18" s="64" t="b">
        <x:v>1</x:v>
      </x:c>
      <x:c r="K18" s="63" t="n">
        <x:v>1</x:v>
      </x:c>
      <x:c r="L18" s="63" t="n">
        <x:v>0</x:v>
      </x:c>
      <x:c r="M18" s="63" t="str">
        <x:v>src/chunking/parent_child_chunker.py</x:v>
      </x:c>
      <x:c r="N18" s="63" t="str">
        <x:v>validation</x:v>
      </x:c>
      <x:c r="O18" s="63" t="str"/>
      <x:c r="P18" s="65" t="n">
        <x:v>0.99</x:v>
      </x:c>
      <x:c r="Q18" s="63" t="str">
        <x:v>Reusable document-heading detector library used by parent-child chunking.</x:v>
      </x:c>
      <x:c r="R18" s="63" t="str">
        <x:v>Update parent_child_chunker import.</x:v>
      </x:c>
      <x:c r="S18" s="63" t="str">
        <x:v>https://github.com/jwild2027/heico-ai-internship-summer-2026/blob/srv/src/chunking/heading_detectors.py</x:v>
      </x:c>
      <x:c r="T18" s="64" t="b">
        <x:v>1</x:v>
      </x:c>
      <x:c r="U18" s="64" t="b">
        <x:v>1</x:v>
      </x:c>
      <x:c r="V18" s="66" t="n">
        <x:v>9465</x:v>
      </x:c>
      <x:c r="W18" s="63" t="str">
        <x:v>Import migration</x:v>
      </x:c>
    </x:row>
    <x:row r="19">
      <x:c r="A19" s="62" t="n">
        <x:v>18</x:v>
      </x:c>
      <x:c r="B19" s="63" t="str">
        <x:v>src/chunking/outline_chunker.py</x:v>
      </x:c>
      <x:c r="C19" s="63" t="str">
        <x:v>outline_chunker.py</x:v>
      </x:c>
      <x:c r="D19" s="63" t="str">
        <x:v>src/chunking</x:v>
      </x:c>
      <x:c r="E19" s="63" t="str">
        <x:v>ingestion</x:v>
      </x:c>
      <x:c r="F19" s="63" t="str">
        <x:v>src/trace_net/ingestion/</x:v>
      </x:c>
      <x:c r="G19" s="63" t="str">
        <x:v>outline_chunker.py</x:v>
      </x:c>
      <x:c r="H19" s="63" t="str">
        <x:v>src/trace_net/ingestion/outline_chunker.py</x:v>
      </x:c>
      <x:c r="I19" s="63" t="str">
        <x:v>MOVE_UPDATE_IMPORTS</x:v>
      </x:c>
      <x:c r="J19" s="64" t="b">
        <x:v>1</x:v>
      </x:c>
      <x:c r="K19" s="63" t="n">
        <x:v>1</x:v>
      </x:c>
      <x:c r="L19" s="63" t="n">
        <x:v>0</x:v>
      </x:c>
      <x:c r="M19" s="63" t="str">
        <x:v>src/chunking/parent_child_chunker.py</x:v>
      </x:c>
      <x:c r="N19" s="63" t="str">
        <x:v>ingestion</x:v>
      </x:c>
      <x:c r="O19" s="63" t="str"/>
      <x:c r="P19" s="65" t="n">
        <x:v>0.99</x:v>
      </x:c>
      <x:c r="Q19" s="63" t="str">
        <x:v>Reusable PDF outline-aware chunker used by parent-child chunking.</x:v>
      </x:c>
      <x:c r="R19" s="63" t="str">
        <x:v>Update parent_child_chunker import and base-tool dependency.</x:v>
      </x:c>
      <x:c r="S19" s="63" t="str">
        <x:v>https://github.com/jwild2027/heico-ai-internship-summer-2026/blob/srv/src/chunking/outline_chunker.py</x:v>
      </x:c>
      <x:c r="T19" s="64" t="b">
        <x:v>1</x:v>
      </x:c>
      <x:c r="U19" s="64" t="b">
        <x:v>1</x:v>
      </x:c>
      <x:c r="V19" s="66" t="n">
        <x:v>6501</x:v>
      </x:c>
      <x:c r="W19" s="63" t="str">
        <x:v>Import migration</x:v>
      </x:c>
    </x:row>
    <x:row r="20">
      <x:c r="A20" s="62" t="n">
        <x:v>19</x:v>
      </x:c>
      <x:c r="B20" s="63" t="str">
        <x:v>src/chunking/parent_child_chunker.py</x:v>
      </x:c>
      <x:c r="C20" s="63" t="str">
        <x:v>parent_child_chunker.py</x:v>
      </x:c>
      <x:c r="D20" s="63" t="str">
        <x:v>src/chunking</x:v>
      </x:c>
      <x:c r="E20" s="63" t="str">
        <x:v>ingestion</x:v>
      </x:c>
      <x:c r="F20" s="63" t="str">
        <x:v>src/trace_net/ingestion/</x:v>
      </x:c>
      <x:c r="G20" s="63" t="str">
        <x:v>parent_child_chunker.py</x:v>
      </x:c>
      <x:c r="H20" s="63" t="str">
        <x:v>src/trace_net/ingestion/parent_child_chunker.py</x:v>
      </x:c>
      <x:c r="I20" s="63" t="str">
        <x:v>MOVE_UPDATE_IMPORTS</x:v>
      </x:c>
      <x:c r="J20" s="64" t="b">
        <x:v>1</x:v>
      </x:c>
      <x:c r="K20" s="63" t="n">
        <x:v>2</x:v>
      </x:c>
      <x:c r="L20" s="63" t="n">
        <x:v>0</x:v>
      </x:c>
      <x:c r="M20" s="63" t="str">
        <x:v>src/db/ingest_bridge.py; tests/unit/test_stage3_chunking.py</x:v>
      </x:c>
      <x:c r="N20" s="63" t="str">
        <x:v>ingestion</x:v>
      </x:c>
      <x:c r="O20" s="63" t="str">
        <x:v>serving</x:v>
      </x:c>
      <x:c r="P20" s="65" t="n">
        <x:v>0.99</x:v>
      </x:c>
      <x:c r="Q20" s="63" t="str">
        <x:v>Active parent-child chunking implementation used by ingestion bridge and tests.</x:v>
      </x:c>
      <x:c r="R20" s="63" t="str">
        <x:v>Update imports; leave compatibility wrapper until all callers move.</x:v>
      </x:c>
      <x:c r="S20" s="63" t="str">
        <x:v>https://github.com/jwild2027/heico-ai-internship-summer-2026/blob/srv/src/chunking/parent_child_chunker.py</x:v>
      </x:c>
      <x:c r="T20" s="64" t="b">
        <x:v>1</x:v>
      </x:c>
      <x:c r="U20" s="64" t="b">
        <x:v>1</x:v>
      </x:c>
      <x:c r="V20" s="66" t="n">
        <x:v>11468</x:v>
      </x:c>
      <x:c r="W20" s="63" t="str">
        <x:v>Import migration</x:v>
      </x:c>
    </x:row>
    <x:row r="21">
      <x:c r="A21" s="62" t="n">
        <x:v>20</x:v>
      </x:c>
      <x:c r="B21" s="63" t="str">
        <x:v>src/coplali/copali/check_colpali_imports.py</x:v>
      </x:c>
      <x:c r="C21" s="63" t="str">
        <x:v>check_colpali_imports.py</x:v>
      </x:c>
      <x:c r="D21" s="63" t="str">
        <x:v>src/coplali/copali</x:v>
      </x:c>
      <x:c r="E21" s="63" t="str">
        <x:v>maintenance</x:v>
      </x:c>
      <x:c r="F21" s="63" t="str">
        <x:v>scripts/maintenance/</x:v>
      </x:c>
      <x:c r="G21" s="63" t="str">
        <x:v>check_colpali_imports.py</x:v>
      </x:c>
      <x:c r="H21" s="63" t="str">
        <x:v>scripts/maintenance/check_colpali_imports.py</x:v>
      </x:c>
      <x:c r="I21" s="63" t="str">
        <x:v>MOVE</x:v>
      </x:c>
      <x:c r="J21" s="64" t="b">
        <x:v>1</x:v>
      </x:c>
      <x:c r="K21" s="63" t="n">
        <x:v>0</x:v>
      </x:c>
      <x:c r="L21" s="63" t="n">
        <x:v>0</x:v>
      </x:c>
      <x:c r="M21" s="63" t="str"/>
      <x:c r="N21" s="63" t="str">
        <x:v>unclassified</x:v>
      </x:c>
      <x:c r="O21" s="63" t="str"/>
      <x:c r="P21" s="65" t="n">
        <x:v>0.99</x:v>
      </x:c>
      <x:c r="Q21" s="63" t="str">
        <x:v>Environment/import probe, not reusable application code.</x:v>
      </x:c>
      <x:c r="R21" s="63" t="str">
        <x:v>Keep as maintenance diagnostic.</x:v>
      </x:c>
      <x:c r="S21" s="63" t="str">
        <x:v>https://github.com/jwild2027/heico-ai-internship-summer-2026/blob/srv/src/coplali/copali/check_colpali_imports.py</x:v>
      </x:c>
      <x:c r="T21" s="64" t="b">
        <x:v>1</x:v>
      </x:c>
      <x:c r="U21" s="64" t="b">
        <x:v>0</x:v>
      </x:c>
      <x:c r="V21" s="66" t="n">
        <x:v>335</x:v>
      </x:c>
      <x:c r="W21" s="63" t="str">
        <x:v>Straight move</x:v>
      </x:c>
    </x:row>
    <x:row r="22">
      <x:c r="A22" s="62" t="n">
        <x:v>21</x:v>
      </x:c>
      <x:c r="B22" s="63" t="str">
        <x:v>src/coplali/copali/colpali_embed.py</x:v>
      </x:c>
      <x:c r="C22" s="63" t="str">
        <x:v>colpali_embed.py</x:v>
      </x:c>
      <x:c r="D22" s="63" t="str">
        <x:v>src/coplali/copali</x:v>
      </x:c>
      <x:c r="E22" s="63" t="str">
        <x:v>embeddings</x:v>
      </x:c>
      <x:c r="F22" s="63" t="str">
        <x:v>src/trace_net/embeddings/</x:v>
      </x:c>
      <x:c r="G22" s="63" t="str">
        <x:v>colpali_embed.py</x:v>
      </x:c>
      <x:c r="H22" s="63" t="str">
        <x:v>src/trace_net/embeddings/colpali_embed.py</x:v>
      </x:c>
      <x:c r="I22" s="63" t="str">
        <x:v>MOVE_REFACTOR_CLI</x:v>
      </x:c>
      <x:c r="J22" s="64" t="b">
        <x:v>1</x:v>
      </x:c>
      <x:c r="K22" s="63" t="n">
        <x:v>0</x:v>
      </x:c>
      <x:c r="L22" s="63" t="n">
        <x:v>0</x:v>
      </x:c>
      <x:c r="M22" s="63" t="str"/>
      <x:c r="N22" s="63" t="str">
        <x:v>ingestion</x:v>
      </x:c>
      <x:c r="O22" s="63" t="str"/>
      <x:c r="P22" s="65" t="n">
        <x:v>0.98</x:v>
      </x:c>
      <x:c r="Q22" s="63" t="str">
        <x:v>Implements image/PDF rendering and ColPali embedding generation.</x:v>
      </x:c>
      <x:c r="R22" s="63" t="str">
        <x:v>Keep reusable functions in package; optionally add thin scripts/build wrapper for CLI.</x:v>
      </x:c>
      <x:c r="S22" s="63" t="str">
        <x:v>https://github.com/jwild2027/heico-ai-internship-summer-2026/blob/srv/src/coplali/copali/colpali_embed.py</x:v>
      </x:c>
      <x:c r="T22" s="64" t="b">
        <x:v>1</x:v>
      </x:c>
      <x:c r="U22" s="64" t="b">
        <x:v>0</x:v>
      </x:c>
      <x:c r="V22" s="66" t="n">
        <x:v>5900</x:v>
      </x:c>
      <x:c r="W22" s="63" t="str">
        <x:v>Straight move</x:v>
      </x:c>
    </x:row>
    <x:row r="23">
      <x:c r="A23" s="62" t="n">
        <x:v>22</x:v>
      </x:c>
      <x:c r="B23" s="63" t="str">
        <x:v>src/coplali/copali/colpali_quick_test.py</x:v>
      </x:c>
      <x:c r="C23" s="63" t="str">
        <x:v>colpali_quick_test.py</x:v>
      </x:c>
      <x:c r="D23" s="63" t="str">
        <x:v>src/coplali/copali</x:v>
      </x:c>
      <x:c r="E23" s="63" t="str">
        <x:v>integration_test</x:v>
      </x:c>
      <x:c r="F23" s="63" t="str">
        <x:v>tests/integration/</x:v>
      </x:c>
      <x:c r="G23" s="63" t="str">
        <x:v>test_colpali_imports.py</x:v>
      </x:c>
      <x:c r="H23" s="63" t="str">
        <x:v>tests/integration/test_colpali_imports.py</x:v>
      </x:c>
      <x:c r="I23" s="63" t="str">
        <x:v>MOVE_REWRITE_AS_TEST</x:v>
      </x:c>
      <x:c r="J23" s="64" t="b">
        <x:v>1</x:v>
      </x:c>
      <x:c r="K23" s="63" t="n">
        <x:v>0</x:v>
      </x:c>
      <x:c r="L23" s="63" t="n">
        <x:v>0</x:v>
      </x:c>
      <x:c r="M23" s="63" t="str"/>
      <x:c r="N23" s="63" t="str">
        <x:v>unclassified</x:v>
      </x:c>
      <x:c r="O23" s="63" t="str"/>
      <x:c r="P23" s="65" t="n">
        <x:v>0.99</x:v>
      </x:c>
      <x:c r="Q23" s="63" t="str">
        <x:v>Quick dependency-import check belongs in integration tests.</x:v>
      </x:c>
      <x:c r="R23" s="63" t="str">
        <x:v>Convert print-only behavior to assertions/skips.</x:v>
      </x:c>
      <x:c r="S23" s="63" t="str">
        <x:v>https://github.com/jwild2027/heico-ai-internship-summer-2026/blob/srv/src/coplali/copali/colpali_quick_test.py</x:v>
      </x:c>
      <x:c r="T23" s="64" t="b">
        <x:v>1</x:v>
      </x:c>
      <x:c r="U23" s="64" t="b">
        <x:v>0</x:v>
      </x:c>
      <x:c r="V23" s="66" t="n">
        <x:v>661</x:v>
      </x:c>
      <x:c r="W23" s="63" t="str">
        <x:v>Straight move</x:v>
      </x:c>
    </x:row>
    <x:row r="24">
      <x:c r="A24" s="62" t="n">
        <x:v>23</x:v>
      </x:c>
      <x:c r="B24" s="63" t="str">
        <x:v>src/coplali/copali/colpali_test.py</x:v>
      </x:c>
      <x:c r="C24" s="63" t="str">
        <x:v>colpali_test.py</x:v>
      </x:c>
      <x:c r="D24" s="63" t="str">
        <x:v>src/coplali/copali</x:v>
      </x:c>
      <x:c r="E24" s="63" t="str">
        <x:v>maintenance</x:v>
      </x:c>
      <x:c r="F24" s="63" t="str">
        <x:v>scripts/maintenance/</x:v>
      </x:c>
      <x:c r="G24" s="63" t="str">
        <x:v>probe_colpali_installation.py</x:v>
      </x:c>
      <x:c r="H24" s="63" t="str">
        <x:v>scripts/maintenance/probe_colpali_installation.py</x:v>
      </x:c>
      <x:c r="I24" s="63" t="str">
        <x:v>MOVE_RENAME</x:v>
      </x:c>
      <x:c r="J24" s="64" t="b">
        <x:v>1</x:v>
      </x:c>
      <x:c r="K24" s="63" t="n">
        <x:v>0</x:v>
      </x:c>
      <x:c r="L24" s="63" t="n">
        <x:v>0</x:v>
      </x:c>
      <x:c r="M24" s="63" t="str"/>
      <x:c r="N24" s="63" t="str">
        <x:v>ingestion</x:v>
      </x:c>
      <x:c r="O24" s="63" t="str"/>
      <x:c r="P24" s="65" t="n">
        <x:v>0.99</x:v>
      </x:c>
      <x:c r="Q24" s="63" t="str">
        <x:v>Manual module/executable installation probe, not an automated unit test.</x:v>
      </x:c>
      <x:c r="R24" s="63" t="str">
        <x:v>Keep as maintenance CLI.</x:v>
      </x:c>
      <x:c r="S24" s="63" t="str">
        <x:v>https://github.com/jwild2027/heico-ai-internship-summer-2026/blob/srv/src/coplali/copali/colpali_test.py</x:v>
      </x:c>
      <x:c r="T24" s="64" t="b">
        <x:v>1</x:v>
      </x:c>
      <x:c r="U24" s="64" t="b">
        <x:v>0</x:v>
      </x:c>
      <x:c r="V24" s="66" t="n">
        <x:v>2972</x:v>
      </x:c>
      <x:c r="W24" s="63" t="str">
        <x:v>Straight move</x:v>
      </x:c>
    </x:row>
    <x:row r="25">
      <x:c r="A25" s="62" t="n">
        <x:v>24</x:v>
      </x:c>
      <x:c r="B25" s="63" t="str">
        <x:v>src/db/ingest_bridge.py</x:v>
      </x:c>
      <x:c r="C25" s="63" t="str">
        <x:v>ingest_bridge.py</x:v>
      </x:c>
      <x:c r="D25" s="63" t="str">
        <x:v>src/db</x:v>
      </x:c>
      <x:c r="E25" s="63" t="str">
        <x:v>ingestion</x:v>
      </x:c>
      <x:c r="F25" s="63" t="str">
        <x:v>src/trace_net/ingestion/</x:v>
      </x:c>
      <x:c r="G25" s="63" t="str">
        <x:v>ingest_bridge.py</x:v>
      </x:c>
      <x:c r="H25" s="63" t="str">
        <x:v>src/trace_net/ingestion/ingest_bridge.py</x:v>
      </x:c>
      <x:c r="I25" s="63" t="str">
        <x:v>MOVE_UPDATE_IMPORTS</x:v>
      </x:c>
      <x:c r="J25" s="64" t="b">
        <x:v>1</x:v>
      </x:c>
      <x:c r="K25" s="63" t="n">
        <x:v>2</x:v>
      </x:c>
      <x:c r="L25" s="63" t="n">
        <x:v>0</x:v>
      </x:c>
      <x:c r="M25" s="63" t="str">
        <x:v>scripts/ingest_batch.py; src/benchmarks/rag_benchmark.py</x:v>
      </x:c>
      <x:c r="N25" s="63" t="str">
        <x:v>ingestion</x:v>
      </x:c>
      <x:c r="O25" s="63" t="str">
        <x:v>serving, benchmarks</x:v>
      </x:c>
      <x:c r="P25" s="65" t="n">
        <x:v>0.99</x:v>
      </x:c>
      <x:c r="Q25" s="63" t="str">
        <x:v>Active bridge orchestrating storage, OCR/benchmark helpers, and chunking.</x:v>
      </x:c>
      <x:c r="R25" s="63" t="str">
        <x:v>Update scripts/ingest_batch.py and internal imports; leave compatibility wrapper.</x:v>
      </x:c>
      <x:c r="S25" s="63" t="str">
        <x:v>https://github.com/jwild2027/heico-ai-internship-summer-2026/blob/srv/src/db/ingest_bridge.py</x:v>
      </x:c>
      <x:c r="T25" s="64" t="b">
        <x:v>1</x:v>
      </x:c>
      <x:c r="U25" s="64" t="b">
        <x:v>1</x:v>
      </x:c>
      <x:c r="V25" s="66" t="n">
        <x:v>12984</x:v>
      </x:c>
      <x:c r="W25" s="63" t="str">
        <x:v>Import migration</x:v>
      </x:c>
    </x:row>
    <x:row r="26">
      <x:c r="A26" s="62" t="n">
        <x:v>25</x:v>
      </x:c>
      <x:c r="B26" s="63" t="str">
        <x:v>src/db/init.py</x:v>
      </x:c>
      <x:c r="C26" s="63" t="str">
        <x:v>init.py</x:v>
      </x:c>
      <x:c r="D26" s="63" t="str">
        <x:v>src/db</x:v>
      </x:c>
      <x:c r="E26" s="63" t="str">
        <x:v>core</x:v>
      </x:c>
      <x:c r="F26" s="63" t="str">
        <x:v>src/trace_net/core/</x:v>
      </x:c>
      <x:c r="G26" s="63" t="str">
        <x:v>__init__.py</x:v>
      </x:c>
      <x:c r="H26" s="63" t="str">
        <x:v>src/trace_net/core/__init__.py</x:v>
      </x:c>
      <x:c r="I26" s="63" t="str">
        <x:v>MERGE_INTO_PACKAGE_INIT</x:v>
      </x:c>
      <x:c r="J26" s="64" t="b">
        <x:v>1</x:v>
      </x:c>
      <x:c r="K26" s="63" t="n">
        <x:v>0</x:v>
      </x:c>
      <x:c r="L26" s="63" t="n">
        <x:v>0</x:v>
      </x:c>
      <x:c r="M26" s="63" t="str"/>
      <x:c r="N26" s="63" t="str">
        <x:v>unclassified</x:v>
      </x:c>
      <x:c r="O26" s="63" t="str"/>
      <x:c r="P26" s="65" t="n">
        <x:v>0.99</x:v>
      </x:c>
      <x:c r="Q26" s="63" t="str">
        <x:v>Package export file exposing RAGDatabase; current name should become package __init__.py.</x:v>
      </x:c>
      <x:c r="R26" s="63" t="str">
        <x:v>Merge export into new core package initializer rather than creating a second init.py.</x:v>
      </x:c>
      <x:c r="S26" s="63" t="str">
        <x:v>https://github.com/jwild2027/heico-ai-internship-summer-2026/blob/srv/src/db/init.py</x:v>
      </x:c>
      <x:c r="T26" s="64" t="b">
        <x:v>1</x:v>
      </x:c>
      <x:c r="U26" s="64" t="b">
        <x:v>1</x:v>
      </x:c>
      <x:c r="V26" s="66" t="n">
        <x:v>124</x:v>
      </x:c>
      <x:c r="W26" s="63" t="str">
        <x:v>Import migration</x:v>
      </x:c>
    </x:row>
    <x:row r="27">
      <x:c r="A27" s="62" t="n">
        <x:v>26</x:v>
      </x:c>
      <x:c r="B27" s="63" t="str">
        <x:v>src/db/schema.py</x:v>
      </x:c>
      <x:c r="C27" s="63" t="str">
        <x:v>schema.py</x:v>
      </x:c>
      <x:c r="D27" s="63" t="str">
        <x:v>src/db</x:v>
      </x:c>
      <x:c r="E27" s="63" t="str">
        <x:v>core</x:v>
      </x:c>
      <x:c r="F27" s="63" t="str">
        <x:v>src/trace_net/core/</x:v>
      </x:c>
      <x:c r="G27" s="63" t="str">
        <x:v>database_schema.py</x:v>
      </x:c>
      <x:c r="H27" s="63" t="str">
        <x:v>src/trace_net/core/database_schema.py</x:v>
      </x:c>
      <x:c r="I27" s="63" t="str">
        <x:v>MOVE_RENAME_UPDATE_IMPORTS</x:v>
      </x:c>
      <x:c r="J27" s="64" t="b">
        <x:v>1</x:v>
      </x:c>
      <x:c r="K27" s="63" t="n">
        <x:v>1</x:v>
      </x:c>
      <x:c r="L27" s="63" t="n">
        <x:v>0</x:v>
      </x:c>
      <x:c r="M27" s="63" t="str">
        <x:v>src/db/storage.py</x:v>
      </x:c>
      <x:c r="N27" s="63" t="str">
        <x:v>shared</x:v>
      </x:c>
      <x:c r="O27" s="63" t="str"/>
      <x:c r="P27" s="65" t="n">
        <x:v>0.99</x:v>
      </x:c>
      <x:c r="Q27" s="63" t="str">
        <x:v>Shared SQLite source-of-truth schema for documents, pages, OCR text, chunks, images, and retrieval logs.</x:v>
      </x:c>
      <x:c r="R27" s="63" t="str">
        <x:v>Update database.py import.</x:v>
      </x:c>
      <x:c r="S27" s="63" t="str">
        <x:v>https://github.com/jwild2027/heico-ai-internship-summer-2026/blob/srv/src/db/schema.py</x:v>
      </x:c>
      <x:c r="T27" s="64" t="b">
        <x:v>1</x:v>
      </x:c>
      <x:c r="U27" s="64" t="b">
        <x:v>1</x:v>
      </x:c>
      <x:c r="V27" s="66" t="n">
        <x:v>7503</x:v>
      </x:c>
      <x:c r="W27" s="63" t="str">
        <x:v>Import migration</x:v>
      </x:c>
    </x:row>
    <x:row r="28">
      <x:c r="A28" s="62" t="n">
        <x:v>27</x:v>
      </x:c>
      <x:c r="B28" s="63" t="str">
        <x:v>src/db/storage.py</x:v>
      </x:c>
      <x:c r="C28" s="63" t="str">
        <x:v>storage.py</x:v>
      </x:c>
      <x:c r="D28" s="63" t="str">
        <x:v>src/db</x:v>
      </x:c>
      <x:c r="E28" s="63" t="str">
        <x:v>core</x:v>
      </x:c>
      <x:c r="F28" s="63" t="str">
        <x:v>src/trace_net/core/</x:v>
      </x:c>
      <x:c r="G28" s="63" t="str">
        <x:v>database.py</x:v>
      </x:c>
      <x:c r="H28" s="63" t="str">
        <x:v>src/trace_net/core/database.py</x:v>
      </x:c>
      <x:c r="I28" s="63" t="str">
        <x:v>MOVE_RENAME_UPDATE_IMPORTS</x:v>
      </x:c>
      <x:c r="J28" s="64" t="b">
        <x:v>1</x:v>
      </x:c>
      <x:c r="K28" s="63" t="n">
        <x:v>6</x:v>
      </x:c>
      <x:c r="L28" s="63" t="n">
        <x:v>0</x:v>
      </x:c>
      <x:c r="M28" s="63" t="str">
        <x:v>scripts/ingest_batch.py; src/benchmarks/rag_benchmark.py; src/db/ingest_bridge.py; src/db/init.py; src/rag/langchain_adapter.py; tests/unit/test_stage4_sqlite.py</x:v>
      </x:c>
      <x:c r="N28" s="63" t="str">
        <x:v>ingestion</x:v>
      </x:c>
      <x:c r="O28" s="63" t="str">
        <x:v>benchmarks, shared, retrieval</x:v>
      </x:c>
      <x:c r="P28" s="65" t="n">
        <x:v>0.99</x:v>
      </x:c>
      <x:c r="Q28" s="63" t="str">
        <x:v>Active SQLite persistence API used by ingestion, RAG adapter, scripts, and tests.</x:v>
      </x:c>
      <x:c r="R28" s="63" t="str">
        <x:v>Update six known importers; leave src.db.storage compatibility wrapper initially.</x:v>
      </x:c>
      <x:c r="S28" s="63" t="str">
        <x:v>https://github.com/jwild2027/heico-ai-internship-summer-2026/blob/srv/src/db/storage.py</x:v>
      </x:c>
      <x:c r="T28" s="64" t="b">
        <x:v>1</x:v>
      </x:c>
      <x:c r="U28" s="64" t="b">
        <x:v>1</x:v>
      </x:c>
      <x:c r="V28" s="66" t="n">
        <x:v>19879</x:v>
      </x:c>
      <x:c r="W28" s="63" t="str">
        <x:v>Import migration</x:v>
      </x:c>
    </x:row>
    <x:row r="29">
      <x:c r="A29" s="62" t="n">
        <x:v>28</x:v>
      </x:c>
      <x:c r="B29" s="63" t="str">
        <x:v>src/ingest/pdf/doc_ingest.py</x:v>
      </x:c>
      <x:c r="C29" s="63" t="str">
        <x:v>doc_ingest.py</x:v>
      </x:c>
      <x:c r="D29" s="63" t="str">
        <x:v>src/ingest/pdf</x:v>
      </x:c>
      <x:c r="E29" s="63" t="str">
        <x:v>legacy</x:v>
      </x:c>
      <x:c r="F29" s="63" t="str">
        <x:v>legacy/duplicate_src/</x:v>
      </x:c>
      <x:c r="G29" s="63" t="str">
        <x:v>doc_ingest_older_copy.py</x:v>
      </x:c>
      <x:c r="H29" s="63" t="str">
        <x:v>legacy/duplicate_src/doc_ingest_older_copy.py</x:v>
      </x:c>
      <x:c r="I29" s="63" t="str">
        <x:v>LEGACY_DUPLICATE_REVIEW</x:v>
      </x:c>
      <x:c r="J29" s="64" t="b">
        <x:v>0</x:v>
      </x:c>
      <x:c r="K29" s="63" t="n">
        <x:v>0</x:v>
      </x:c>
      <x:c r="L29" s="63" t="n">
        <x:v>0</x:v>
      </x:c>
      <x:c r="M29" s="63" t="str"/>
      <x:c r="N29" s="63" t="str">
        <x:v>ingestion</x:v>
      </x:c>
      <x:c r="O29" s="63" t="str"/>
      <x:c r="P29" s="65" t="n">
        <x:v>0.92</x:v>
      </x:c>
      <x:c r="Q29" s="63" t="str">
        <x:v>Unreferenced older duplicate of the actively imported backend_legacy/doc_ingest.py implementation.</x:v>
      </x:c>
      <x:c r="R29" s="63" t="str">
        <x:v>Diff once before archive; retain active backend implementation as canonical ingestion module.</x:v>
      </x:c>
      <x:c r="S29" s="63" t="str">
        <x:v>https://github.com/jwild2027/heico-ai-internship-summer-2026/blob/srv/src/ingest/pdf/doc_ingest.py</x:v>
      </x:c>
      <x:c r="T29" s="64" t="b">
        <x:v>1</x:v>
      </x:c>
      <x:c r="U29" s="64" t="b">
        <x:v>0</x:v>
      </x:c>
      <x:c r="V29" s="66" t="n">
        <x:v>15696</x:v>
      </x:c>
      <x:c r="W29" s="63" t="str">
        <x:v>Legacy review</x:v>
      </x:c>
    </x:row>
    <x:row r="30">
      <x:c r="A30" s="62" t="n">
        <x:v>29</x:v>
      </x:c>
      <x:c r="B30" s="63" t="str">
        <x:v>src/ingest/pdf/gemma3_4b.py</x:v>
      </x:c>
      <x:c r="C30" s="63" t="str">
        <x:v>gemma3_4b.py</x:v>
      </x:c>
      <x:c r="D30" s="63" t="str">
        <x:v>src/ingest/pdf</x:v>
      </x:c>
      <x:c r="E30" s="63" t="str">
        <x:v>legacy</x:v>
      </x:c>
      <x:c r="F30" s="63" t="str">
        <x:v>legacy/model_wrappers/</x:v>
      </x:c>
      <x:c r="G30" s="63" t="str">
        <x:v>gemma3_4b_ingest.py</x:v>
      </x:c>
      <x:c r="H30" s="63" t="str">
        <x:v>legacy/model_wrappers/gemma3_4b_ingest.py</x:v>
      </x:c>
      <x:c r="I30" s="63" t="str">
        <x:v>LEGACY</x:v>
      </x:c>
      <x:c r="J30" s="64" t="b">
        <x:v>0</x:v>
      </x:c>
      <x:c r="K30" s="63" t="n">
        <x:v>0</x:v>
      </x:c>
      <x:c r="L30" s="63" t="n">
        <x:v>0</x:v>
      </x:c>
      <x:c r="M30" s="63" t="str"/>
      <x:c r="N30" s="63" t="str">
        <x:v>ingestion</x:v>
      </x:c>
      <x:c r="O30" s="63" t="str">
        <x:v>llm_writing</x:v>
      </x:c>
      <x:c r="P30" s="65" t="n">
        <x:v>0.99</x:v>
      </x:c>
      <x:c r="Q30" s="63" t="str">
        <x:v>Unreferenced model-specific wrapper pinned to obsolete gemma3:4b.</x:v>
      </x:c>
      <x:c r="R30" s="63" t="str">
        <x:v>Current TRACE-Net answer model is Gemma4; archive wrapper.</x:v>
      </x:c>
      <x:c r="S30" s="63" t="str">
        <x:v>https://github.com/jwild2027/heico-ai-internship-summer-2026/blob/srv/src/ingest/pdf/gemma3_4b.py</x:v>
      </x:c>
      <x:c r="T30" s="64" t="b">
        <x:v>1</x:v>
      </x:c>
      <x:c r="U30" s="64" t="b">
        <x:v>0</x:v>
      </x:c>
      <x:c r="V30" s="66" t="n">
        <x:v>482</x:v>
      </x:c>
      <x:c r="W30" s="63" t="str">
        <x:v>Legacy review</x:v>
      </x:c>
    </x:row>
    <x:row r="31">
      <x:c r="A31" s="62" t="n">
        <x:v>30</x:v>
      </x:c>
      <x:c r="B31" s="63" t="str">
        <x:v>src/ingest/pdf/llama3_8b.py</x:v>
      </x:c>
      <x:c r="C31" s="63" t="str">
        <x:v>llama3_8b.py</x:v>
      </x:c>
      <x:c r="D31" s="63" t="str">
        <x:v>src/ingest/pdf</x:v>
      </x:c>
      <x:c r="E31" s="63" t="str">
        <x:v>legacy</x:v>
      </x:c>
      <x:c r="F31" s="63" t="str">
        <x:v>legacy/model_wrappers/</x:v>
      </x:c>
      <x:c r="G31" s="63" t="str">
        <x:v>llama3_8b_ingest.py</x:v>
      </x:c>
      <x:c r="H31" s="63" t="str">
        <x:v>legacy/model_wrappers/llama3_8b_ingest.py</x:v>
      </x:c>
      <x:c r="I31" s="63" t="str">
        <x:v>LEGACY</x:v>
      </x:c>
      <x:c r="J31" s="64" t="b">
        <x:v>0</x:v>
      </x:c>
      <x:c r="K31" s="63" t="n">
        <x:v>0</x:v>
      </x:c>
      <x:c r="L31" s="63" t="n">
        <x:v>0</x:v>
      </x:c>
      <x:c r="M31" s="63" t="str"/>
      <x:c r="N31" s="63" t="str">
        <x:v>ingestion</x:v>
      </x:c>
      <x:c r="O31" s="63" t="str"/>
      <x:c r="P31" s="65" t="n">
        <x:v>0.97</x:v>
      </x:c>
      <x:c r="Q31" s="63" t="str">
        <x:v>Unreferenced model-specific ingestion wrapper for an older comparison model.</x:v>
      </x:c>
      <x:c r="R31" s="63" t="str">
        <x:v>Archive unless an explicit benchmark still invokes it externally.</x:v>
      </x:c>
      <x:c r="S31" s="63" t="str">
        <x:v>https://github.com/jwild2027/heico-ai-internship-summer-2026/blob/srv/src/ingest/pdf/llama3_8b.py</x:v>
      </x:c>
      <x:c r="T31" s="64" t="b">
        <x:v>1</x:v>
      </x:c>
      <x:c r="U31" s="64" t="b">
        <x:v>0</x:v>
      </x:c>
      <x:c r="V31" s="66" t="n">
        <x:v>486</x:v>
      </x:c>
      <x:c r="W31" s="63" t="str">
        <x:v>Legacy review</x:v>
      </x:c>
    </x:row>
    <x:row r="32">
      <x:c r="A32" s="62" t="n">
        <x:v>31</x:v>
      </x:c>
      <x:c r="B32" s="63" t="str">
        <x:v>src/ingest/pdf/pdfplumber_ingest.py</x:v>
      </x:c>
      <x:c r="C32" s="63" t="str">
        <x:v>pdfplumber_ingest.py</x:v>
      </x:c>
      <x:c r="D32" s="63" t="str">
        <x:v>src/ingest/pdf</x:v>
      </x:c>
      <x:c r="E32" s="63" t="str">
        <x:v>ingestion</x:v>
      </x:c>
      <x:c r="F32" s="63" t="str">
        <x:v>src/trace_net/ingestion/</x:v>
      </x:c>
      <x:c r="G32" s="63" t="str">
        <x:v>pdfplumber_extractor.py</x:v>
      </x:c>
      <x:c r="H32" s="63" t="str">
        <x:v>src/trace_net/ingestion/pdfplumber_extractor.py</x:v>
      </x:c>
      <x:c r="I32" s="63" t="str">
        <x:v>MOVE_RENAME_UPDATE_IMPORTS</x:v>
      </x:c>
      <x:c r="J32" s="64" t="b">
        <x:v>1</x:v>
      </x:c>
      <x:c r="K32" s="63" t="n">
        <x:v>0</x:v>
      </x:c>
      <x:c r="L32" s="63" t="n">
        <x:v>0</x:v>
      </x:c>
      <x:c r="M32" s="63" t="str"/>
      <x:c r="N32" s="63" t="str">
        <x:v>ingestion</x:v>
      </x:c>
      <x:c r="O32" s="63" t="str"/>
      <x:c r="P32" s="65" t="n">
        <x:v>0.99</x:v>
      </x:c>
      <x:c r="Q32" s="63" t="str">
        <x:v>Reusable pdfplumber page extractor feeding the shared ingestion pipeline.</x:v>
      </x:c>
      <x:c r="R32" s="63" t="str">
        <x:v>Update shared pipeline import; remove sys.path mutation.</x:v>
      </x:c>
      <x:c r="S32" s="63" t="str">
        <x:v>https://github.com/jwild2027/heico-ai-internship-summer-2026/blob/srv/src/ingest/pdf/pdfplumber_ingest.py</x:v>
      </x:c>
      <x:c r="T32" s="64" t="b">
        <x:v>1</x:v>
      </x:c>
      <x:c r="U32" s="64" t="b">
        <x:v>1</x:v>
      </x:c>
      <x:c r="V32" s="66" t="n">
        <x:v>2161</x:v>
      </x:c>
      <x:c r="W32" s="63" t="str">
        <x:v>Import migration</x:v>
      </x:c>
    </x:row>
    <x:row r="33">
      <x:c r="A33" s="62" t="n">
        <x:v>32</x:v>
      </x:c>
      <x:c r="B33" s="63" t="str">
        <x:v>src/ingest/pdf/phi3_mini.py</x:v>
      </x:c>
      <x:c r="C33" s="63" t="str">
        <x:v>phi3_mini.py</x:v>
      </x:c>
      <x:c r="D33" s="63" t="str">
        <x:v>src/ingest/pdf</x:v>
      </x:c>
      <x:c r="E33" s="63" t="str">
        <x:v>legacy</x:v>
      </x:c>
      <x:c r="F33" s="63" t="str">
        <x:v>legacy/model_wrappers/</x:v>
      </x:c>
      <x:c r="G33" s="63" t="str">
        <x:v>phi3_mini_ingest.py</x:v>
      </x:c>
      <x:c r="H33" s="63" t="str">
        <x:v>legacy/model_wrappers/phi3_mini_ingest.py</x:v>
      </x:c>
      <x:c r="I33" s="63" t="str">
        <x:v>LEGACY</x:v>
      </x:c>
      <x:c r="J33" s="64" t="b">
        <x:v>0</x:v>
      </x:c>
      <x:c r="K33" s="63" t="n">
        <x:v>0</x:v>
      </x:c>
      <x:c r="L33" s="63" t="n">
        <x:v>0</x:v>
      </x:c>
      <x:c r="M33" s="63" t="str"/>
      <x:c r="N33" s="63" t="str">
        <x:v>ingestion</x:v>
      </x:c>
      <x:c r="O33" s="63" t="str"/>
      <x:c r="P33" s="65" t="n">
        <x:v>0.99</x:v>
      </x:c>
      <x:c r="Q33" s="63" t="str">
        <x:v>Unreferenced model-specific ingestion wrapper for obsolete phi3:mini experiment.</x:v>
      </x:c>
      <x:c r="R33" s="63" t="str">
        <x:v>Archive.</x:v>
      </x:c>
      <x:c r="S33" s="63" t="str">
        <x:v>https://github.com/jwild2027/heico-ai-internship-summer-2026/blob/srv/src/ingest/pdf/phi3_mini.py</x:v>
      </x:c>
      <x:c r="T33" s="64" t="b">
        <x:v>1</x:v>
      </x:c>
      <x:c r="U33" s="64" t="b">
        <x:v>0</x:v>
      </x:c>
      <x:c r="V33" s="66" t="n">
        <x:v>482</x:v>
      </x:c>
      <x:c r="W33" s="63" t="str">
        <x:v>Legacy review</x:v>
      </x:c>
    </x:row>
    <x:row r="34">
      <x:c r="A34" s="62" t="n">
        <x:v>33</x:v>
      </x:c>
      <x:c r="B34" s="63" t="str">
        <x:v>src/ingest/pdf/pymupdf_ingest.py</x:v>
      </x:c>
      <x:c r="C34" s="63" t="str">
        <x:v>pymupdf_ingest.py</x:v>
      </x:c>
      <x:c r="D34" s="63" t="str">
        <x:v>src/ingest/pdf</x:v>
      </x:c>
      <x:c r="E34" s="63" t="str">
        <x:v>ingestion</x:v>
      </x:c>
      <x:c r="F34" s="63" t="str">
        <x:v>src/trace_net/ingestion/</x:v>
      </x:c>
      <x:c r="G34" s="63" t="str">
        <x:v>pymupdf_extractor.py</x:v>
      </x:c>
      <x:c r="H34" s="63" t="str">
        <x:v>src/trace_net/ingestion/pymupdf_extractor.py</x:v>
      </x:c>
      <x:c r="I34" s="63" t="str">
        <x:v>MOVE_RENAME_UPDATE_IMPORTS</x:v>
      </x:c>
      <x:c r="J34" s="64" t="b">
        <x:v>1</x:v>
      </x:c>
      <x:c r="K34" s="63" t="n">
        <x:v>0</x:v>
      </x:c>
      <x:c r="L34" s="63" t="n">
        <x:v>0</x:v>
      </x:c>
      <x:c r="M34" s="63" t="str"/>
      <x:c r="N34" s="63" t="str">
        <x:v>ingestion</x:v>
      </x:c>
      <x:c r="O34" s="63" t="str"/>
      <x:c r="P34" s="65" t="n">
        <x:v>0.99</x:v>
      </x:c>
      <x:c r="Q34" s="63" t="str">
        <x:v>Reusable PyMuPDF page extractor feeding the shared ingestion pipeline.</x:v>
      </x:c>
      <x:c r="R34" s="63" t="str">
        <x:v>Update shared pipeline import; remove sys.path mutation.</x:v>
      </x:c>
      <x:c r="S34" s="63" t="str">
        <x:v>https://github.com/jwild2027/heico-ai-internship-summer-2026/blob/srv/src/ingest/pdf/pymupdf_ingest.py</x:v>
      </x:c>
      <x:c r="T34" s="64" t="b">
        <x:v>1</x:v>
      </x:c>
      <x:c r="U34" s="64" t="b">
        <x:v>1</x:v>
      </x:c>
      <x:c r="V34" s="66" t="n">
        <x:v>2137</x:v>
      </x:c>
      <x:c r="W34" s="63" t="str">
        <x:v>Import migration</x:v>
      </x:c>
    </x:row>
    <x:row r="35">
      <x:c r="A35" s="62" t="n">
        <x:v>34</x:v>
      </x:c>
      <x:c r="B35" s="63" t="str">
        <x:v>src/ingest/pdf/pypdf_ingest.py</x:v>
      </x:c>
      <x:c r="C35" s="63" t="str">
        <x:v>pypdf_ingest.py</x:v>
      </x:c>
      <x:c r="D35" s="63" t="str">
        <x:v>src/ingest/pdf</x:v>
      </x:c>
      <x:c r="E35" s="63" t="str">
        <x:v>ingestion</x:v>
      </x:c>
      <x:c r="F35" s="63" t="str">
        <x:v>src/trace_net/ingestion/</x:v>
      </x:c>
      <x:c r="G35" s="63" t="str">
        <x:v>pypdf_extractor.py</x:v>
      </x:c>
      <x:c r="H35" s="63" t="str">
        <x:v>src/trace_net/ingestion/pypdf_extractor.py</x:v>
      </x:c>
      <x:c r="I35" s="63" t="str">
        <x:v>MOVE_RENAME_UPDATE_IMPORTS</x:v>
      </x:c>
      <x:c r="J35" s="64" t="b">
        <x:v>1</x:v>
      </x:c>
      <x:c r="K35" s="63" t="n">
        <x:v>0</x:v>
      </x:c>
      <x:c r="L35" s="63" t="n">
        <x:v>0</x:v>
      </x:c>
      <x:c r="M35" s="63" t="str"/>
      <x:c r="N35" s="63" t="str">
        <x:v>ingestion</x:v>
      </x:c>
      <x:c r="O35" s="63" t="str"/>
      <x:c r="P35" s="65" t="n">
        <x:v>0.99</x:v>
      </x:c>
      <x:c r="Q35" s="63" t="str">
        <x:v>Reusable pypdf page extractor feeding the shared ingestion pipeline.</x:v>
      </x:c>
      <x:c r="R35" s="63" t="str">
        <x:v>Update shared pipeline import; remove sys.path mutation.</x:v>
      </x:c>
      <x:c r="S35" s="63" t="str">
        <x:v>https://github.com/jwild2027/heico-ai-internship-summer-2026/blob/srv/src/ingest/pdf/pypdf_ingest.py</x:v>
      </x:c>
      <x:c r="T35" s="64" t="b">
        <x:v>1</x:v>
      </x:c>
      <x:c r="U35" s="64" t="b">
        <x:v>1</x:v>
      </x:c>
      <x:c r="V35" s="66" t="n">
        <x:v>1636</x:v>
      </x:c>
      <x:c r="W35" s="63" t="str">
        <x:v>Import migration</x:v>
      </x:c>
    </x:row>
    <x:row r="36">
      <x:c r="A36" s="62" t="n">
        <x:v>35</x:v>
      </x:c>
      <x:c r="B36" s="63" t="str">
        <x:v>src/ingest/pdf/run_scraper_comparison.py</x:v>
      </x:c>
      <x:c r="C36" s="63" t="str">
        <x:v>run_scraper_comparison.py</x:v>
      </x:c>
      <x:c r="D36" s="63" t="str">
        <x:v>src/ingest/pdf</x:v>
      </x:c>
      <x:c r="E36" s="63" t="str">
        <x:v>benchmark</x:v>
      </x:c>
      <x:c r="F36" s="63" t="str">
        <x:v>scripts/benchmark/</x:v>
      </x:c>
      <x:c r="G36" s="63" t="str">
        <x:v>pdf_extractor_comparison.py</x:v>
      </x:c>
      <x:c r="H36" s="63" t="str">
        <x:v>scripts/benchmark/pdf_extractor_comparison.py</x:v>
      </x:c>
      <x:c r="I36" s="63" t="str">
        <x:v>MOVE_RENAME</x:v>
      </x:c>
      <x:c r="J36" s="64" t="b">
        <x:v>1</x:v>
      </x:c>
      <x:c r="K36" s="63" t="n">
        <x:v>0</x:v>
      </x:c>
      <x:c r="L36" s="63" t="n">
        <x:v>0</x:v>
      </x:c>
      <x:c r="M36" s="63" t="str"/>
      <x:c r="N36" s="63" t="str">
        <x:v>ingestion</x:v>
      </x:c>
      <x:c r="O36" s="63" t="str"/>
      <x:c r="P36" s="65" t="n">
        <x:v>0.99</x:v>
      </x:c>
      <x:c r="Q36" s="63" t="str">
        <x:v>Runs multiple PDF scraper implementations for comparison; executable benchmark rather than library.</x:v>
      </x:c>
      <x:c r="R36" s="63" t="str">
        <x:v>Update subprocess paths to new extractor entrypoints.</x:v>
      </x:c>
      <x:c r="S36" s="63" t="str">
        <x:v>https://github.com/jwild2027/heico-ai-internship-summer-2026/blob/srv/src/ingest/pdf/run_scraper_comparison.py</x:v>
      </x:c>
      <x:c r="T36" s="64" t="b">
        <x:v>1</x:v>
      </x:c>
      <x:c r="U36" s="64" t="b">
        <x:v>0</x:v>
      </x:c>
      <x:c r="V36" s="66" t="n">
        <x:v>2327</x:v>
      </x:c>
      <x:c r="W36" s="63" t="str">
        <x:v>Straight move</x:v>
      </x:c>
    </x:row>
    <x:row r="37">
      <x:c r="A37" s="62" t="n">
        <x:v>36</x:v>
      </x:c>
      <x:c r="B37" s="63" t="str">
        <x:v>src/ingest/pdf/unstructured_ingest.py</x:v>
      </x:c>
      <x:c r="C37" s="63" t="str">
        <x:v>unstructured_ingest.py</x:v>
      </x:c>
      <x:c r="D37" s="63" t="str">
        <x:v>src/ingest/pdf</x:v>
      </x:c>
      <x:c r="E37" s="63" t="str">
        <x:v>ingestion</x:v>
      </x:c>
      <x:c r="F37" s="63" t="str">
        <x:v>src/trace_net/ingestion/</x:v>
      </x:c>
      <x:c r="G37" s="63" t="str">
        <x:v>unstructured_extractor.py</x:v>
      </x:c>
      <x:c r="H37" s="63" t="str">
        <x:v>src/trace_net/ingestion/unstructured_extractor.py</x:v>
      </x:c>
      <x:c r="I37" s="63" t="str">
        <x:v>MOVE_RENAME_UPDATE_IMPORTS</x:v>
      </x:c>
      <x:c r="J37" s="64" t="b">
        <x:v>1</x:v>
      </x:c>
      <x:c r="K37" s="63" t="n">
        <x:v>0</x:v>
      </x:c>
      <x:c r="L37" s="63" t="n">
        <x:v>0</x:v>
      </x:c>
      <x:c r="M37" s="63" t="str"/>
      <x:c r="N37" s="63" t="str">
        <x:v>ingestion</x:v>
      </x:c>
      <x:c r="O37" s="63" t="str"/>
      <x:c r="P37" s="65" t="n">
        <x:v>0.99</x:v>
      </x:c>
      <x:c r="Q37" s="63" t="str">
        <x:v>Reusable Unstructured PDF page extractor feeding the shared ingestion pipeline.</x:v>
      </x:c>
      <x:c r="R37" s="63" t="str">
        <x:v>Update shared pipeline import; remove sys.path mutation.</x:v>
      </x:c>
      <x:c r="S37" s="63" t="str">
        <x:v>https://github.com/jwild2027/heico-ai-internship-summer-2026/blob/srv/src/ingest/pdf/unstructured_ingest.py</x:v>
      </x:c>
      <x:c r="T37" s="64" t="b">
        <x:v>1</x:v>
      </x:c>
      <x:c r="U37" s="64" t="b">
        <x:v>1</x:v>
      </x:c>
      <x:c r="V37" s="66" t="n">
        <x:v>2681</x:v>
      </x:c>
      <x:c r="W37" s="63" t="str">
        <x:v>Import migration</x:v>
      </x:c>
    </x:row>
    <x:row r="38">
      <x:c r="A38" s="62" t="n">
        <x:v>37</x:v>
      </x:c>
      <x:c r="B38" s="63" t="str">
        <x:v>src/ocr/ocr_util.py</x:v>
      </x:c>
      <x:c r="C38" s="63" t="str">
        <x:v>ocr_util.py</x:v>
      </x:c>
      <x:c r="D38" s="63" t="str">
        <x:v>src/ocr</x:v>
      </x:c>
      <x:c r="E38" s="63" t="str">
        <x:v>ocr</x:v>
      </x:c>
      <x:c r="F38" s="63" t="str">
        <x:v>src/trace_net/ocr/</x:v>
      </x:c>
      <x:c r="G38" s="63" t="str">
        <x:v>ocr_util.py</x:v>
      </x:c>
      <x:c r="H38" s="63" t="str">
        <x:v>src/trace_net/ocr/ocr_util.py</x:v>
      </x:c>
      <x:c r="I38" s="63" t="str">
        <x:v>MOVE</x:v>
      </x:c>
      <x:c r="J38" s="64" t="b">
        <x:v>1</x:v>
      </x:c>
      <x:c r="K38" s="63" t="n">
        <x:v>0</x:v>
      </x:c>
      <x:c r="L38" s="63" t="n">
        <x:v>0</x:v>
      </x:c>
      <x:c r="M38" s="63" t="str"/>
      <x:c r="N38" s="63" t="str">
        <x:v>ocr</x:v>
      </x:c>
      <x:c r="O38" s="63" t="str">
        <x:v>ingestion, serving</x:v>
      </x:c>
      <x:c r="P38" s="65" t="n">
        <x:v>0.99</x:v>
      </x:c>
      <x:c r="Q38" s="63" t="str">
        <x:v>Reusable Tesseract/PDF-to-image OCR utility.</x:v>
      </x:c>
      <x:c r="R38" s="63" t="str">
        <x:v>Retain functions; add tests before refactor.</x:v>
      </x:c>
      <x:c r="S38" s="63" t="str">
        <x:v>https://github.com/jwild2027/heico-ai-internship-summer-2026/blob/srv/src/ocr/ocr_util.py</x:v>
      </x:c>
      <x:c r="T38" s="64" t="b">
        <x:v>1</x:v>
      </x:c>
      <x:c r="U38" s="64" t="b">
        <x:v>0</x:v>
      </x:c>
      <x:c r="V38" s="66" t="n">
        <x:v>4472</x:v>
      </x:c>
      <x:c r="W38" s="63" t="str">
        <x:v>Straight move</x:v>
      </x:c>
    </x:row>
    <x:row r="39">
      <x:c r="A39" s="62" t="n">
        <x:v>38</x:v>
      </x:c>
      <x:c r="B39" s="63" t="str">
        <x:v>src/rag/citation_checker.py</x:v>
      </x:c>
      <x:c r="C39" s="63" t="str">
        <x:v>citation_checker.py</x:v>
      </x:c>
      <x:c r="D39" s="63" t="str">
        <x:v>src/rag</x:v>
      </x:c>
      <x:c r="E39" s="63" t="str">
        <x:v>validation</x:v>
      </x:c>
      <x:c r="F39" s="63" t="str">
        <x:v>src/trace_net/validation/</x:v>
      </x:c>
      <x:c r="G39" s="63" t="str">
        <x:v>citation_checker.py</x:v>
      </x:c>
      <x:c r="H39" s="63" t="str">
        <x:v>src/trace_net/validation/citation_checker.py</x:v>
      </x:c>
      <x:c r="I39" s="63" t="str">
        <x:v>MOVE_UPDATE_IMPORTS</x:v>
      </x:c>
      <x:c r="J39" s="64" t="b">
        <x:v>1</x:v>
      </x:c>
      <x:c r="K39" s="63" t="n">
        <x:v>1</x:v>
      </x:c>
      <x:c r="L39" s="63" t="n">
        <x:v>0</x:v>
      </x:c>
      <x:c r="M39" s="63" t="str">
        <x:v>apps/streamlit/rag_chat.py</x:v>
      </x:c>
      <x:c r="N39" s="63" t="str">
        <x:v>serving</x:v>
      </x:c>
      <x:c r="O39" s="63" t="str"/>
      <x:c r="P39" s="65" t="n">
        <x:v>0.99</x:v>
      </x:c>
      <x:c r="Q39" s="63" t="str">
        <x:v>Post-processes answers and verifies factual claims against retrieved chunks.</x:v>
      </x:c>
      <x:c r="R39" s="63" t="str">
        <x:v>Update Streamlit app/import examples; leave compatibility wrapper.</x:v>
      </x:c>
      <x:c r="S39" s="63" t="str">
        <x:v>https://github.com/jwild2027/heico-ai-internship-summer-2026/blob/srv/src/rag/citation_checker.py</x:v>
      </x:c>
      <x:c r="T39" s="64" t="b">
        <x:v>1</x:v>
      </x:c>
      <x:c r="U39" s="64" t="b">
        <x:v>1</x:v>
      </x:c>
      <x:c r="V39" s="66" t="n">
        <x:v>14493</x:v>
      </x:c>
      <x:c r="W39" s="63" t="str">
        <x:v>Import migration</x:v>
      </x:c>
    </x:row>
    <x:row r="40">
      <x:c r="A40" s="62" t="n">
        <x:v>39</x:v>
      </x:c>
      <x:c r="B40" s="63" t="str">
        <x:v>src/rag/langchain_adapter.py</x:v>
      </x:c>
      <x:c r="C40" s="63" t="str">
        <x:v>langchain_adapter.py</x:v>
      </x:c>
      <x:c r="D40" s="63" t="str">
        <x:v>src/rag</x:v>
      </x:c>
      <x:c r="E40" s="63" t="str">
        <x:v>retrieval</x:v>
      </x:c>
      <x:c r="F40" s="63" t="str">
        <x:v>src/trace_net/retrieval/</x:v>
      </x:c>
      <x:c r="G40" s="63" t="str">
        <x:v>rag_adapter.py</x:v>
      </x:c>
      <x:c r="H40" s="63" t="str">
        <x:v>src/trace_net/retrieval/rag_adapter.py</x:v>
      </x:c>
      <x:c r="I40" s="63" t="str">
        <x:v>MOVE_RENAME_UPDATE_IMPORTS</x:v>
      </x:c>
      <x:c r="J40" s="64" t="b">
        <x:v>1</x:v>
      </x:c>
      <x:c r="K40" s="63" t="n">
        <x:v>3</x:v>
      </x:c>
      <x:c r="L40" s="63" t="n">
        <x:v>0</x:v>
      </x:c>
      <x:c r="M40" s="63" t="str">
        <x:v>apps/streamlit/rag_chat.py; src/rag/citation_checker.py; tests/unit/interactive_test.py</x:v>
      </x:c>
      <x:c r="N40" s="63" t="str">
        <x:v>benchmarks</x:v>
      </x:c>
      <x:c r="O40" s="63" t="str"/>
      <x:c r="P40" s="65" t="n">
        <x:v>0.98</x:v>
      </x:c>
      <x:c r="Q40" s="63" t="str">
        <x:v>Active RAG retrieval/orchestration adapter used by the chat app, citation checker, and tests.</x:v>
      </x:c>
      <x:c r="R40" s="63" t="str">
        <x:v>Primary home is retrieval; later split answer generation into writing. Update three known importers.</x:v>
      </x:c>
      <x:c r="S40" s="63" t="str">
        <x:v>https://github.com/jwild2027/heico-ai-internship-summer-2026/blob/srv/src/rag/langchain_adapter.py</x:v>
      </x:c>
      <x:c r="T40" s="64" t="b">
        <x:v>1</x:v>
      </x:c>
      <x:c r="U40" s="64" t="b">
        <x:v>1</x:v>
      </x:c>
      <x:c r="V40" s="66" t="n">
        <x:v>26532</x:v>
      </x:c>
      <x:c r="W40" s="63" t="str">
        <x:v>Import migration</x:v>
      </x:c>
    </x:row>
    <x:row r="41">
      <x:c r="A41" s="62" t="n">
        <x:v>40</x:v>
      </x:c>
      <x:c r="B41" s="63" t="str">
        <x:v>src/vector/chroma_client.py</x:v>
      </x:c>
      <x:c r="C41" s="63" t="str">
        <x:v>chroma_client.py</x:v>
      </x:c>
      <x:c r="D41" s="63" t="str">
        <x:v>src/vector</x:v>
      </x:c>
      <x:c r="E41" s="63" t="str">
        <x:v>embeddings</x:v>
      </x:c>
      <x:c r="F41" s="63" t="str">
        <x:v>src/trace_net/embeddings/</x:v>
      </x:c>
      <x:c r="G41" s="63" t="str">
        <x:v>chroma_client.py</x:v>
      </x:c>
      <x:c r="H41" s="63" t="str">
        <x:v>src/trace_net/embeddings/chroma_client.py</x:v>
      </x:c>
      <x:c r="I41" s="63" t="str">
        <x:v>MOVE_UPDATE_IMPORTS</x:v>
      </x:c>
      <x:c r="J41" s="64" t="b">
        <x:v>1</x:v>
      </x:c>
      <x:c r="K41" s="63" t="n">
        <x:v>1</x:v>
      </x:c>
      <x:c r="L41" s="63" t="n">
        <x:v>0</x:v>
      </x:c>
      <x:c r="M41" s="63" t="str">
        <x:v>tools/pymupdf_bge_chroma_cli.py</x:v>
      </x:c>
      <x:c r="N41" s="63" t="str">
        <x:v>ingestion</x:v>
      </x:c>
      <x:c r="O41" s="63" t="str"/>
      <x:c r="P41" s="65" t="n">
        <x:v>0.98</x:v>
      </x:c>
      <x:c r="Q41" s="63" t="str">
        <x:v>Creates/configures Chroma client used by the embedding and vector-index toolchain.</x:v>
      </x:c>
      <x:c r="R41" s="63" t="str">
        <x:v>Update tools/pymupdf_bge_chroma_cli.py import; preserve CHROMA_HOST/PORT behavior.</x:v>
      </x:c>
      <x:c r="S41" s="63" t="str">
        <x:v>https://github.com/jwild2027/heico-ai-internship-summer-2026/blob/srv/src/vector/chroma_client.py</x:v>
      </x:c>
      <x:c r="T41" s="64" t="b">
        <x:v>1</x:v>
      </x:c>
      <x:c r="U41" s="64" t="b">
        <x:v>1</x:v>
      </x:c>
      <x:c r="V41" s="66" t="n">
        <x:v>1170</x:v>
      </x:c>
      <x:c r="W41" s="63" t="str">
        <x:v>Import migration</x:v>
      </x:c>
    </x:row>
  </x:sheetData>
  <x:conditionalFormatting sqref="P2:P4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I2:I41">
    <x:cfRule type="expression" dxfId="0" priority="2">
      <x:formula>LEFT(I2,6)="LEGACY"</x:formula>
    </x:cfRule>
    <x:cfRule type="expression" dxfId="1" priority="3">
      <x:formula>OR(I2="SPLIT_THEN_MOVE",ISNUMBER(SEARCH("UPDATE_IMPORTS",I2)))</x:formula>
    </x:cfRule>
    <x:cfRule type="expression" dxfId="2" priority="4">
      <x:formula>OR(I2="MOVE",I2="MOVE_RENAME")</x:formula>
    </x:cfRule>
  </x:conditionalFormatting>
  <x:conditionalFormatting sqref="J2:J41">
    <x:cfRule type="expression" dxfId="3" priority="5">
      <x:formula>J2=FALSE</x:formula>
    </x:cfRule>
  </x:conditionalFormatting>
  <x:conditionalFormatting sqref="U2:U41">
    <x:cfRule type="expression" dxfId="4" priority="6">
      <x:formula>U2=TRUE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98cbcf4016f40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65" hidden="0" customWidth="1"/>
  </x:cols>
  <x:sheetData>
    <x:row r="1">
      <x:c r="A1" s="39" t="str">
        <x:v>Recommended Folder</x:v>
      </x:c>
      <x:c r="B1" s="39" t="str">
        <x:v>File Count</x:v>
      </x:c>
      <x:c r="C1" s="39" t="str">
        <x:v>Active Files</x:v>
      </x:c>
      <x:c r="D1" s="39" t="str">
        <x:v>Legacy Files</x:v>
      </x:c>
      <x:c r="E1" s="39" t="str">
        <x:v>Known-Caller Files</x:v>
      </x:c>
      <x:c r="F1" s="39" t="str">
        <x:v>Total Bytes</x:v>
      </x:c>
      <x:c r="G1" s="39" t="str">
        <x:v>Example Files</x:v>
      </x:c>
    </x:row>
    <x:row r="2">
      <x:c r="A2" s="53" t="str">
        <x:v>legacy/duplicate_src/</x:v>
      </x:c>
      <x:c r="B2" s="56" t="n">
        <x:f>COUNTIF('File Plan'!F$2:F$41,A2)</x:f>
        <x:v>1</x:v>
      </x:c>
      <x:c r="C2" s="56" t="n">
        <x:f>COUNTIFS('File Plan'!F$2:F$41,A2,'File Plan'!E$2:E$41,"&lt;&gt;legacy")</x:f>
        <x:v>0</x:v>
      </x:c>
      <x:c r="D2" s="56" t="n">
        <x:f>COUNTIFS('File Plan'!F$2:F$41,A2,'File Plan'!E$2:E$41,"legacy")</x:f>
        <x:v>1</x:v>
      </x:c>
      <x:c r="E2" s="56" t="n">
        <x:f>COUNTIFS('File Plan'!F$2:F$41,A2,'File Plan'!K$2:K$41,"&gt;0")</x:f>
        <x:v>0</x:v>
      </x:c>
      <x:c r="F2" s="56" t="n">
        <x:f>SUMIF('File Plan'!F$2:F$41,A2,'File Plan'!V$2:V$41)</x:f>
        <x:v>15696</x:v>
      </x:c>
      <x:c r="G2" s="53" t="str">
        <x:v>doc_ingest_older_copy.py</x:v>
      </x:c>
    </x:row>
    <x:row r="3">
      <x:c r="A3" s="53" t="str">
        <x:v>legacy/model_wrappers/</x:v>
      </x:c>
      <x:c r="B3" s="56" t="n">
        <x:f>COUNTIF('File Plan'!F$2:F$41,A3)</x:f>
        <x:v>3</x:v>
      </x:c>
      <x:c r="C3" s="56" t="n">
        <x:f>COUNTIFS('File Plan'!F$2:F$41,A3,'File Plan'!E$2:E$41,"&lt;&gt;legacy")</x:f>
        <x:v>0</x:v>
      </x:c>
      <x:c r="D3" s="56" t="n">
        <x:f>COUNTIFS('File Plan'!F$2:F$41,A3,'File Plan'!E$2:E$41,"legacy")</x:f>
        <x:v>3</x:v>
      </x:c>
      <x:c r="E3" s="56" t="n">
        <x:f>COUNTIFS('File Plan'!F$2:F$41,A3,'File Plan'!K$2:K$41,"&gt;0")</x:f>
        <x:v>0</x:v>
      </x:c>
      <x:c r="F3" s="56" t="n">
        <x:f>SUMIF('File Plan'!F$2:F$41,A3,'File Plan'!V$2:V$41)</x:f>
        <x:v>1450</x:v>
      </x:c>
      <x:c r="G3" s="53" t="str">
        <x:v>gemma3_4b_ingest.py, llama3_8b_ingest.py, phi3_mini_ingest.py</x:v>
      </x:c>
    </x:row>
    <x:row r="4">
      <x:c r="A4" s="53" t="str">
        <x:v>legacy/src_prototypes/</x:v>
      </x:c>
      <x:c r="B4" s="56" t="n">
        <x:f>COUNTIF('File Plan'!F$2:F$41,A4)</x:f>
        <x:v>6</x:v>
      </x:c>
      <x:c r="C4" s="56" t="n">
        <x:f>COUNTIFS('File Plan'!F$2:F$41,A4,'File Plan'!E$2:E$41,"&lt;&gt;legacy")</x:f>
        <x:v>0</x:v>
      </x:c>
      <x:c r="D4" s="56" t="n">
        <x:f>COUNTIFS('File Plan'!F$2:F$41,A4,'File Plan'!E$2:E$41,"legacy")</x:f>
        <x:v>6</x:v>
      </x:c>
      <x:c r="E4" s="56" t="n">
        <x:f>COUNTIFS('File Plan'!F$2:F$41,A4,'File Plan'!K$2:K$41,"&gt;0")</x:f>
        <x:v>0</x:v>
      </x:c>
      <x:c r="F4" s="56" t="n">
        <x:f>SUMIF('File Plan'!F$2:F$41,A4,'File Plan'!V$2:V$41)</x:f>
        <x:v>28252</x:v>
      </x:c>
      <x:c r="G4" s="53" t="str">
        <x:v>it_policy_chat.py, chroma_quick_demo.py, gemma_context_graph_demo.py, ollama_chat_demo.py, qwen_image_recognition_demo.py</x:v>
      </x:c>
    </x:row>
    <x:row r="5">
      <x:c r="A5" s="53" t="str">
        <x:v>legacy/vendor_snapshots/</x:v>
      </x:c>
      <x:c r="B5" s="56" t="n">
        <x:f>COUNTIF('File Plan'!F$2:F$41,A5)</x:f>
        <x:v>1</x:v>
      </x:c>
      <x:c r="C5" s="56" t="n">
        <x:f>COUNTIFS('File Plan'!F$2:F$41,A5,'File Plan'!E$2:E$41,"&lt;&gt;legacy")</x:f>
        <x:v>0</x:v>
      </x:c>
      <x:c r="D5" s="56" t="n">
        <x:f>COUNTIFS('File Plan'!F$2:F$41,A5,'File Plan'!E$2:E$41,"legacy")</x:f>
        <x:v>1</x:v>
      </x:c>
      <x:c r="E5" s="56" t="n">
        <x:f>COUNTIFS('File Plan'!F$2:F$41,A5,'File Plan'!K$2:K$41,"&gt;0")</x:f>
        <x:v>0</x:v>
      </x:c>
      <x:c r="F5" s="56" t="n">
        <x:f>SUMIF('File Plan'!F$2:F$41,A5,'File Plan'!V$2:V$41)</x:f>
        <x:v>17892</x:v>
      </x:c>
      <x:c r="G5" s="53" t="str">
        <x:v>ollama_client_models_snapshot.py</x:v>
      </x:c>
    </x:row>
    <x:row r="6">
      <x:c r="A6" s="53" t="str">
        <x:v>scripts/benchmark/</x:v>
      </x:c>
      <x:c r="B6" s="56" t="n">
        <x:f>COUNTIF('File Plan'!F$2:F$41,A6)</x:f>
        <x:v>7</x:v>
      </x:c>
      <x:c r="C6" s="56" t="n">
        <x:f>COUNTIFS('File Plan'!F$2:F$41,A6,'File Plan'!E$2:E$41,"&lt;&gt;legacy")</x:f>
        <x:v>7</x:v>
      </x:c>
      <x:c r="D6" s="56" t="n">
        <x:f>COUNTIFS('File Plan'!F$2:F$41,A6,'File Plan'!E$2:E$41,"legacy")</x:f>
        <x:v>0</x:v>
      </x:c>
      <x:c r="E6" s="56" t="n">
        <x:f>COUNTIFS('File Plan'!F$2:F$41,A6,'File Plan'!K$2:K$41,"&gt;0")</x:f>
        <x:v>0</x:v>
      </x:c>
      <x:c r="F6" s="56" t="n">
        <x:f>SUMIF('File Plan'!F$2:F$41,A6,'File Plan'!V$2:V$41)</x:f>
        <x:v>81400</x:v>
      </x:c>
      <x:c r="G6" s="53" t="str">
        <x:v>ollama_concurrency_benchmark.py, ollama_model_comparison.py, embedding_benchmark_v1.py, embedding_benchmark_final.py, embedding_benchmark_harder.py</x:v>
      </x:c>
    </x:row>
    <x:row r="7">
      <x:c r="A7" s="53" t="str">
        <x:v>scripts/maintenance/</x:v>
      </x:c>
      <x:c r="B7" s="56" t="n">
        <x:f>COUNTIF('File Plan'!F$2:F$41,A7)</x:f>
        <x:v>2</x:v>
      </x:c>
      <x:c r="C7" s="56" t="n">
        <x:f>COUNTIFS('File Plan'!F$2:F$41,A7,'File Plan'!E$2:E$41,"&lt;&gt;legacy")</x:f>
        <x:v>2</x:v>
      </x:c>
      <x:c r="D7" s="56" t="n">
        <x:f>COUNTIFS('File Plan'!F$2:F$41,A7,'File Plan'!E$2:E$41,"legacy")</x:f>
        <x:v>0</x:v>
      </x:c>
      <x:c r="E7" s="56" t="n">
        <x:f>COUNTIFS('File Plan'!F$2:F$41,A7,'File Plan'!K$2:K$41,"&gt;0")</x:f>
        <x:v>0</x:v>
      </x:c>
      <x:c r="F7" s="56" t="n">
        <x:f>SUMIF('File Plan'!F$2:F$41,A7,'File Plan'!V$2:V$41)</x:f>
        <x:v>3307</x:v>
      </x:c>
      <x:c r="G7" s="53" t="str">
        <x:v>check_colpali_imports.py, probe_colpali_installation.py</x:v>
      </x:c>
    </x:row>
    <x:row r="8">
      <x:c r="A8" s="53" t="str">
        <x:v>src/trace_net/core/</x:v>
      </x:c>
      <x:c r="B8" s="56" t="n">
        <x:f>COUNTIF('File Plan'!F$2:F$41,A8)</x:f>
        <x:v>3</x:v>
      </x:c>
      <x:c r="C8" s="56" t="n">
        <x:f>COUNTIFS('File Plan'!F$2:F$41,A8,'File Plan'!E$2:E$41,"&lt;&gt;legacy")</x:f>
        <x:v>3</x:v>
      </x:c>
      <x:c r="D8" s="56" t="n">
        <x:f>COUNTIFS('File Plan'!F$2:F$41,A8,'File Plan'!E$2:E$41,"legacy")</x:f>
        <x:v>0</x:v>
      </x:c>
      <x:c r="E8" s="56" t="n">
        <x:f>COUNTIFS('File Plan'!F$2:F$41,A8,'File Plan'!K$2:K$41,"&gt;0")</x:f>
        <x:v>2</x:v>
      </x:c>
      <x:c r="F8" s="56" t="n">
        <x:f>SUMIF('File Plan'!F$2:F$41,A8,'File Plan'!V$2:V$41)</x:f>
        <x:v>27506</x:v>
      </x:c>
      <x:c r="G8" s="53" t="str">
        <x:v>__init__.py, database_schema.py, database.py</x:v>
      </x:c>
    </x:row>
    <x:row r="9">
      <x:c r="A9" s="53" t="str">
        <x:v>src/trace_net/embeddings/</x:v>
      </x:c>
      <x:c r="B9" s="56" t="n">
        <x:f>COUNTIF('File Plan'!F$2:F$41,A9)</x:f>
        <x:v>2</x:v>
      </x:c>
      <x:c r="C9" s="56" t="n">
        <x:f>COUNTIFS('File Plan'!F$2:F$41,A9,'File Plan'!E$2:E$41,"&lt;&gt;legacy")</x:f>
        <x:v>2</x:v>
      </x:c>
      <x:c r="D9" s="56" t="n">
        <x:f>COUNTIFS('File Plan'!F$2:F$41,A9,'File Plan'!E$2:E$41,"legacy")</x:f>
        <x:v>0</x:v>
      </x:c>
      <x:c r="E9" s="56" t="n">
        <x:f>COUNTIFS('File Plan'!F$2:F$41,A9,'File Plan'!K$2:K$41,"&gt;0")</x:f>
        <x:v>1</x:v>
      </x:c>
      <x:c r="F9" s="56" t="n">
        <x:f>SUMIF('File Plan'!F$2:F$41,A9,'File Plan'!V$2:V$41)</x:f>
        <x:v>7070</x:v>
      </x:c>
      <x:c r="G9" s="53" t="str">
        <x:v>colpali_embed.py, chroma_client.py</x:v>
      </x:c>
    </x:row>
    <x:row r="10">
      <x:c r="A10" s="53" t="str">
        <x:v>src/trace_net/ingestion/</x:v>
      </x:c>
      <x:c r="B10" s="56" t="n">
        <x:f>COUNTIF('File Plan'!F$2:F$41,A10)</x:f>
        <x:v>11</x:v>
      </x:c>
      <x:c r="C10" s="56" t="n">
        <x:f>COUNTIFS('File Plan'!F$2:F$41,A10,'File Plan'!E$2:E$41,"&lt;&gt;legacy")</x:f>
        <x:v>11</x:v>
      </x:c>
      <x:c r="D10" s="56" t="n">
        <x:f>COUNTIFS('File Plan'!F$2:F$41,A10,'File Plan'!E$2:E$41,"legacy")</x:f>
        <x:v>0</x:v>
      </x:c>
      <x:c r="E10" s="56" t="n">
        <x:f>COUNTIFS('File Plan'!F$2:F$41,A10,'File Plan'!K$2:K$41,"&gt;0")</x:f>
        <x:v>7</x:v>
      </x:c>
      <x:c r="F10" s="56" t="n">
        <x:f>SUMIF('File Plan'!F$2:F$41,A10,'File Plan'!V$2:V$41)</x:f>
        <x:v>101593</x:v>
      </x:c>
      <x:c r="G10" s="53" t="str">
        <x:v>pdf_ingestion_pipeline.py, rag_ingestion_pipeline.py, chunking_strategy.py, heading_detectors.py, outline_chunker.py</x:v>
      </x:c>
    </x:row>
    <x:row r="11">
      <x:c r="A11" s="53" t="str">
        <x:v>src/trace_net/ocr/</x:v>
      </x:c>
      <x:c r="B11" s="56" t="n">
        <x:f>COUNTIF('File Plan'!F$2:F$41,A11)</x:f>
        <x:v>1</x:v>
      </x:c>
      <x:c r="C11" s="56" t="n">
        <x:f>COUNTIFS('File Plan'!F$2:F$41,A11,'File Plan'!E$2:E$41,"&lt;&gt;legacy")</x:f>
        <x:v>1</x:v>
      </x:c>
      <x:c r="D11" s="56" t="n">
        <x:f>COUNTIFS('File Plan'!F$2:F$41,A11,'File Plan'!E$2:E$41,"legacy")</x:f>
        <x:v>0</x:v>
      </x:c>
      <x:c r="E11" s="56" t="n">
        <x:f>COUNTIFS('File Plan'!F$2:F$41,A11,'File Plan'!K$2:K$41,"&gt;0")</x:f>
        <x:v>0</x:v>
      </x:c>
      <x:c r="F11" s="56" t="n">
        <x:f>SUMIF('File Plan'!F$2:F$41,A11,'File Plan'!V$2:V$41)</x:f>
        <x:v>4472</x:v>
      </x:c>
      <x:c r="G11" s="53" t="str">
        <x:v>ocr_util.py</x:v>
      </x:c>
    </x:row>
    <x:row r="12">
      <x:c r="A12" s="53" t="str">
        <x:v>src/trace_net/retrieval/</x:v>
      </x:c>
      <x:c r="B12" s="56" t="n">
        <x:f>COUNTIF('File Plan'!F$2:F$41,A12)</x:f>
        <x:v>1</x:v>
      </x:c>
      <x:c r="C12" s="56" t="n">
        <x:f>COUNTIFS('File Plan'!F$2:F$41,A12,'File Plan'!E$2:E$41,"&lt;&gt;legacy")</x:f>
        <x:v>1</x:v>
      </x:c>
      <x:c r="D12" s="56" t="n">
        <x:f>COUNTIFS('File Plan'!F$2:F$41,A12,'File Plan'!E$2:E$41,"legacy")</x:f>
        <x:v>0</x:v>
      </x:c>
      <x:c r="E12" s="56" t="n">
        <x:f>COUNTIFS('File Plan'!F$2:F$41,A12,'File Plan'!K$2:K$41,"&gt;0")</x:f>
        <x:v>1</x:v>
      </x:c>
      <x:c r="F12" s="56" t="n">
        <x:f>SUMIF('File Plan'!F$2:F$41,A12,'File Plan'!V$2:V$41)</x:f>
        <x:v>26532</x:v>
      </x:c>
      <x:c r="G12" s="53" t="str">
        <x:v>rag_adapter.py</x:v>
      </x:c>
    </x:row>
    <x:row r="13">
      <x:c r="A13" s="53" t="str">
        <x:v>src/trace_net/validation/</x:v>
      </x:c>
      <x:c r="B13" s="56" t="n">
        <x:f>COUNTIF('File Plan'!F$2:F$41,A13)</x:f>
        <x:v>1</x:v>
      </x:c>
      <x:c r="C13" s="56" t="n">
        <x:f>COUNTIFS('File Plan'!F$2:F$41,A13,'File Plan'!E$2:E$41,"&lt;&gt;legacy")</x:f>
        <x:v>1</x:v>
      </x:c>
      <x:c r="D13" s="56" t="n">
        <x:f>COUNTIFS('File Plan'!F$2:F$41,A13,'File Plan'!E$2:E$41,"legacy")</x:f>
        <x:v>0</x:v>
      </x:c>
      <x:c r="E13" s="56" t="n">
        <x:f>COUNTIFS('File Plan'!F$2:F$41,A13,'File Plan'!K$2:K$41,"&gt;0")</x:f>
        <x:v>1</x:v>
      </x:c>
      <x:c r="F13" s="56" t="n">
        <x:f>SUMIF('File Plan'!F$2:F$41,A13,'File Plan'!V$2:V$41)</x:f>
        <x:v>14493</x:v>
      </x:c>
      <x:c r="G13" s="53" t="str">
        <x:v>citation_checker.py</x:v>
      </x:c>
    </x:row>
    <x:row r="14">
      <x:c r="A14" s="53" t="str">
        <x:v>tests/integration/</x:v>
      </x:c>
      <x:c r="B14" s="56" t="n">
        <x:f>COUNTIF('File Plan'!F$2:F$41,A14)</x:f>
        <x:v>1</x:v>
      </x:c>
      <x:c r="C14" s="56" t="n">
        <x:f>COUNTIFS('File Plan'!F$2:F$41,A14,'File Plan'!E$2:E$41,"&lt;&gt;legacy")</x:f>
        <x:v>1</x:v>
      </x:c>
      <x:c r="D14" s="56" t="n">
        <x:f>COUNTIFS('File Plan'!F$2:F$41,A14,'File Plan'!E$2:E$41,"legacy")</x:f>
        <x:v>0</x:v>
      </x:c>
      <x:c r="E14" s="56" t="n">
        <x:f>COUNTIFS('File Plan'!F$2:F$41,A14,'File Plan'!K$2:K$41,"&gt;0")</x:f>
        <x:v>0</x:v>
      </x:c>
      <x:c r="F14" s="56" t="n">
        <x:f>SUMIF('File Plan'!F$2:F$41,A14,'File Plan'!V$2:V$41)</x:f>
        <x:v>661</x:v>
      </x:c>
      <x:c r="G14" s="53" t="str">
        <x:v>test_colpali_imports.py</x:v>
      </x:c>
    </x:row>
  </x:sheetData>
  <x:pageMargins left="0.7" right="0.7" top="0.75" bottom="0.75" header="0.3" footer="0.3"/>
  <x:tableParts count="1">
    <x:tablePart xmlns:r="http://schemas.openxmlformats.org/officeDocument/2006/relationships" r:id="R5d71d2a5a94f456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2" hidden="0" customWidth="1"/>
    <x:col min="3" max="3" width="32" hidden="0" customWidth="1"/>
    <x:col min="4" max="4" width="28" hidden="0" customWidth="1"/>
    <x:col min="5" max="5" width="12" hidden="0" customWidth="1"/>
    <x:col min="6" max="6" width="58" hidden="0" customWidth="1"/>
    <x:col min="7" max="7" width="58" hidden="0" customWidth="1"/>
    <x:col min="8" max="8" width="58" hidden="0" customWidth="1"/>
    <x:col min="9" max="9" width="60" hidden="0" customWidth="1"/>
  </x:cols>
  <x:sheetData>
    <x:row r="1">
      <x:c r="A1" s="74" t="str">
        <x:v>Current Path</x:v>
      </x:c>
      <x:c r="B1" s="74" t="str">
        <x:v>Recommended Folder</x:v>
      </x:c>
      <x:c r="C1" s="74" t="str">
        <x:v>Recommended File Name</x:v>
      </x:c>
      <x:c r="D1" s="74" t="str">
        <x:v>Action</x:v>
      </x:c>
      <x:c r="E1" s="74" t="str">
        <x:v>Confidence</x:v>
      </x:c>
      <x:c r="F1" s="74" t="str">
        <x:v>Reason</x:v>
      </x:c>
      <x:c r="G1" s="74" t="str">
        <x:v>Known Callers / References</x:v>
      </x:c>
      <x:c r="H1" s="74" t="str">
        <x:v>Migration Safety Note</x:v>
      </x:c>
      <x:c r="I1" s="74" t="str">
        <x:v>GitHub Source</x:v>
      </x:c>
    </x:row>
    <x:row r="2">
      <x:c r="A2" s="53" t="str">
        <x:v>src/backend_legacy/IT-test</x:v>
      </x:c>
      <x:c r="B2" s="53" t="str">
        <x:v>legacy/src_prototypes/</x:v>
      </x:c>
      <x:c r="C2" s="53" t="str">
        <x:v>it_policy_chat.py</x:v>
      </x:c>
      <x:c r="D2" s="53" t="str">
        <x:v>LEGACY</x:v>
      </x:c>
      <x:c r="E2" s="55" t="n">
        <x:v>0.98</x:v>
      </x:c>
      <x:c r="F2" s="53" t="str">
        <x:v>Standalone IT-policy chatbot prototype; unreferenced and outside TRACE-Net runtime.</x:v>
      </x:c>
      <x:c r="G2" s="53" t="str"/>
      <x:c r="H2" s="53" t="str">
        <x:v>No active import path found. Archive rather than delete.</x:v>
      </x:c>
      <x:c r="I2" s="53" t="str">
        <x:v>https://github.com/jwild2027/heico-ai-internship-summer-2026/blob/srv/src/backend_legacy/IT-test</x:v>
      </x:c>
    </x:row>
    <x:row r="3">
      <x:c r="A3" s="53" t="str">
        <x:v>src/backend_legacy/dt.py</x:v>
      </x:c>
      <x:c r="B3" s="53" t="str">
        <x:v>legacy/src_prototypes/</x:v>
      </x:c>
      <x:c r="C3" s="53" t="str">
        <x:v>chroma_quick_demo.py</x:v>
      </x:c>
      <x:c r="D3" s="53" t="str">
        <x:v>LEGACY</x:v>
      </x:c>
      <x:c r="E3" s="55" t="n">
        <x:v>0.99</x:v>
      </x:c>
      <x:c r="F3" s="53" t="str">
        <x:v>Tiny Chroma pineapple/orange demonstration; no repository consumer.</x:v>
      </x:c>
      <x:c r="G3" s="53" t="str"/>
      <x:c r="H3" s="53" t="str">
        <x:v>Archive; not production vector-store code.</x:v>
      </x:c>
      <x:c r="I3" s="53" t="str">
        <x:v>https://github.com/jwild2027/heico-ai-internship-summer-2026/blob/srv/src/backend_legacy/dt.py</x:v>
      </x:c>
    </x:row>
    <x:row r="4">
      <x:c r="A4" s="53" t="str">
        <x:v>src/backend_legacy/embed</x:v>
      </x:c>
      <x:c r="B4" s="53" t="str">
        <x:v>legacy/src_prototypes/</x:v>
      </x:c>
      <x:c r="C4" s="53" t="str">
        <x:v>gemma_context_graph_demo.py</x:v>
      </x:c>
      <x:c r="D4" s="53" t="str">
        <x:v>LEGACY</x:v>
      </x:c>
      <x:c r="E4" s="55" t="n">
        <x:v>0.99</x:v>
      </x:c>
      <x:c r="F4" s="53" t="str">
        <x:v>File describes itself as an experimental context graph and explicitly not a real vector-embedding pipeline.</x:v>
      </x:c>
      <x:c r="G4" s="53" t="str">
        <x:v>tests/unit/test_trace_net_page_retrieval_profiles_v1.py; tests/unit/test_trace_net_qdrant_loader_v1.py</x:v>
      </x:c>
      <x:c r="H4" s="53" t="str">
        <x:v>References reported by generic filename matching are not Python imports.</x:v>
      </x:c>
      <x:c r="I4" s="53" t="str">
        <x:v>https://github.com/jwild2027/heico-ai-internship-summer-2026/blob/srv/src/backend_legacy/embed</x:v>
      </x:c>
    </x:row>
    <x:row r="5">
      <x:c r="A5" s="53" t="str">
        <x:v>src/backend_legacy/example-code</x:v>
      </x:c>
      <x:c r="B5" s="53" t="str">
        <x:v>legacy/src_prototypes/</x:v>
      </x:c>
      <x:c r="C5" s="53" t="str">
        <x:v>ollama_chat_demo.py</x:v>
      </x:c>
      <x:c r="D5" s="53" t="str">
        <x:v>LEGACY</x:v>
      </x:c>
      <x:c r="E5" s="55" t="n">
        <x:v>0.99</x:v>
      </x:c>
      <x:c r="F5" s="53" t="str">
        <x:v>Generic Gemma chat example with no TRACE-Net integration or callers.</x:v>
      </x:c>
      <x:c r="G5" s="53" t="str"/>
      <x:c r="H5" s="53" t="str">
        <x:v>Archive as historical prototype.</x:v>
      </x:c>
      <x:c r="I5" s="53" t="str">
        <x:v>https://github.com/jwild2027/heico-ai-internship-summer-2026/blob/srv/src/backend_legacy/example-code</x:v>
      </x:c>
    </x:row>
    <x:row r="6">
      <x:c r="A6" s="53" t="str">
        <x:v>src/backend_legacy/image_rec.py</x:v>
      </x:c>
      <x:c r="B6" s="53" t="str">
        <x:v>legacy/src_prototypes/</x:v>
      </x:c>
      <x:c r="C6" s="53" t="str">
        <x:v>qwen_image_recognition_demo.py</x:v>
      </x:c>
      <x:c r="D6" s="53" t="str">
        <x:v>LEGACY</x:v>
      </x:c>
      <x:c r="E6" s="55" t="n">
        <x:v>0.99</x:v>
      </x:c>
      <x:c r="F6" s="53" t="str">
        <x:v>Unreferenced image-recognition prototype using qwen3-vl rather than the active LLaVA/Gemma visual route.</x:v>
      </x:c>
      <x:c r="G6" s="53" t="str"/>
      <x:c r="H6" s="53" t="str">
        <x:v>Archive; do not merge into active visual package.</x:v>
      </x:c>
      <x:c r="I6" s="53" t="str">
        <x:v>https://github.com/jwild2027/heico-ai-internship-summer-2026/blob/srv/src/backend_legacy/image_rec.py</x:v>
      </x:c>
    </x:row>
    <x:row r="7">
      <x:c r="A7" s="53" t="str">
        <x:v>src/backend_legacy/photo_detect.py</x:v>
      </x:c>
      <x:c r="B7" s="53" t="str">
        <x:v>legacy/src_prototypes/</x:v>
      </x:c>
      <x:c r="C7" s="53" t="str">
        <x:v>qwen_photo_matching_demo.py</x:v>
      </x:c>
      <x:c r="D7" s="53" t="str">
        <x:v>LEGACY</x:v>
      </x:c>
      <x:c r="E7" s="55" t="n">
        <x:v>0.99</x:v>
      </x:c>
      <x:c r="F7" s="53" t="str">
        <x:v>Unreferenced local-image matching prototype using qwen3-vl and a local images folder.</x:v>
      </x:c>
      <x:c r="G7" s="53" t="str"/>
      <x:c r="H7" s="53" t="str">
        <x:v>Archive; not part of active TRACE-Net visual evidence route.</x:v>
      </x:c>
      <x:c r="I7" s="53" t="str">
        <x:v>https://github.com/jwild2027/heico-ai-internship-summer-2026/blob/srv/src/backend_legacy/photo_detect.py</x:v>
      </x:c>
    </x:row>
    <x:row r="8">
      <x:c r="A8" s="53" t="str">
        <x:v>src/backend_legacy/test.py</x:v>
      </x:c>
      <x:c r="B8" s="53" t="str">
        <x:v>legacy/vendor_snapshots/</x:v>
      </x:c>
      <x:c r="C8" s="53" t="str">
        <x:v>ollama_client_models_snapshot.py</x:v>
      </x:c>
      <x:c r="D8" s="53" t="str">
        <x:v>LEGACY</x:v>
      </x:c>
      <x:c r="E8" s="55" t="n">
        <x:v>0.98</x:v>
      </x:c>
      <x:c r="F8" s="53" t="str">
        <x:v>Large copied Pydantic request/response model snapshot; no callers and not a project test.</x:v>
      </x:c>
      <x:c r="G8" s="53" t="str"/>
      <x:c r="H8" s="53" t="str">
        <x:v>Archive for reference only; rely on installed Ollama package types.</x:v>
      </x:c>
      <x:c r="I8" s="53" t="str">
        <x:v>https://github.com/jwild2027/heico-ai-internship-summer-2026/blob/srv/src/backend_legacy/test.py</x:v>
      </x:c>
    </x:row>
    <x:row r="9">
      <x:c r="A9" s="53" t="str">
        <x:v>src/ingest/pdf/doc_ingest.py</x:v>
      </x:c>
      <x:c r="B9" s="53" t="str">
        <x:v>legacy/duplicate_src/</x:v>
      </x:c>
      <x:c r="C9" s="53" t="str">
        <x:v>doc_ingest_older_copy.py</x:v>
      </x:c>
      <x:c r="D9" s="53" t="str">
        <x:v>LEGACY_DUPLICATE_REVIEW</x:v>
      </x:c>
      <x:c r="E9" s="55" t="n">
        <x:v>0.92</x:v>
      </x:c>
      <x:c r="F9" s="53" t="str">
        <x:v>Unreferenced older duplicate of the actively imported backend_legacy/doc_ingest.py implementation.</x:v>
      </x:c>
      <x:c r="G9" s="53" t="str"/>
      <x:c r="H9" s="53" t="str">
        <x:v>Diff once before archive; retain active backend implementation as canonical ingestion module.</x:v>
      </x:c>
      <x:c r="I9" s="53" t="str">
        <x:v>https://github.com/jwild2027/heico-ai-internship-summer-2026/blob/srv/src/ingest/pdf/doc_ingest.py</x:v>
      </x:c>
    </x:row>
    <x:row r="10">
      <x:c r="A10" s="53" t="str">
        <x:v>src/ingest/pdf/gemma3_4b.py</x:v>
      </x:c>
      <x:c r="B10" s="53" t="str">
        <x:v>legacy/model_wrappers/</x:v>
      </x:c>
      <x:c r="C10" s="53" t="str">
        <x:v>gemma3_4b_ingest.py</x:v>
      </x:c>
      <x:c r="D10" s="53" t="str">
        <x:v>LEGACY</x:v>
      </x:c>
      <x:c r="E10" s="55" t="n">
        <x:v>0.99</x:v>
      </x:c>
      <x:c r="F10" s="53" t="str">
        <x:v>Unreferenced model-specific wrapper pinned to obsolete gemma3:4b.</x:v>
      </x:c>
      <x:c r="G10" s="53" t="str"/>
      <x:c r="H10" s="53" t="str">
        <x:v>Current TRACE-Net answer model is Gemma4; archive wrapper.</x:v>
      </x:c>
      <x:c r="I10" s="53" t="str">
        <x:v>https://github.com/jwild2027/heico-ai-internship-summer-2026/blob/srv/src/ingest/pdf/gemma3_4b.py</x:v>
      </x:c>
    </x:row>
    <x:row r="11">
      <x:c r="A11" s="53" t="str">
        <x:v>src/ingest/pdf/llama3_8b.py</x:v>
      </x:c>
      <x:c r="B11" s="53" t="str">
        <x:v>legacy/model_wrappers/</x:v>
      </x:c>
      <x:c r="C11" s="53" t="str">
        <x:v>llama3_8b_ingest.py</x:v>
      </x:c>
      <x:c r="D11" s="53" t="str">
        <x:v>LEGACY</x:v>
      </x:c>
      <x:c r="E11" s="55" t="n">
        <x:v>0.97</x:v>
      </x:c>
      <x:c r="F11" s="53" t="str">
        <x:v>Unreferenced model-specific ingestion wrapper for an older comparison model.</x:v>
      </x:c>
      <x:c r="G11" s="53" t="str"/>
      <x:c r="H11" s="53" t="str">
        <x:v>Archive unless an explicit benchmark still invokes it externally.</x:v>
      </x:c>
      <x:c r="I11" s="53" t="str">
        <x:v>https://github.com/jwild2027/heico-ai-internship-summer-2026/blob/srv/src/ingest/pdf/llama3_8b.py</x:v>
      </x:c>
    </x:row>
    <x:row r="12">
      <x:c r="A12" s="53" t="str">
        <x:v>src/ingest/pdf/phi3_mini.py</x:v>
      </x:c>
      <x:c r="B12" s="53" t="str">
        <x:v>legacy/model_wrappers/</x:v>
      </x:c>
      <x:c r="C12" s="53" t="str">
        <x:v>phi3_mini_ingest.py</x:v>
      </x:c>
      <x:c r="D12" s="53" t="str">
        <x:v>LEGACY</x:v>
      </x:c>
      <x:c r="E12" s="55" t="n">
        <x:v>0.99</x:v>
      </x:c>
      <x:c r="F12" s="53" t="str">
        <x:v>Unreferenced model-specific ingestion wrapper for obsolete phi3:mini experiment.</x:v>
      </x:c>
      <x:c r="G12" s="53" t="str"/>
      <x:c r="H12" s="53" t="str">
        <x:v>Archive.</x:v>
      </x:c>
      <x:c r="I12" s="53" t="str">
        <x:v>https://github.com/jwild2027/heico-ai-internship-summer-2026/blob/srv/src/ingest/pdf/phi3_mini.py</x:v>
      </x:c>
    </x:row>
  </x:sheetData>
  <x:pageMargins left="0.7" right="0.7" top="0.75" bottom="0.75" header="0.3" footer="0.3"/>
  <x:tableParts count="1">
    <x:tablePart xmlns:r="http://schemas.openxmlformats.org/officeDocument/2006/relationships" r:id="R30894d663e2d426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70" hidden="0" customWidth="1"/>
    <x:col min="4" max="4" width="70" hidden="0" customWidth="1"/>
    <x:col min="5" max="5" width="14" hidden="0" customWidth="1"/>
  </x:cols>
  <x:sheetData>
    <x:row r="1">
      <x:c r="A1" s="39" t="str">
        <x:v>Phase</x:v>
      </x:c>
      <x:c r="B1" s="39" t="str">
        <x:v>Name</x:v>
      </x:c>
      <x:c r="C1" s="39" t="str">
        <x:v>Work</x:v>
      </x:c>
      <x:c r="D1" s="39" t="str">
        <x:v>Required Check</x:v>
      </x:c>
      <x:c r="E1" s="39" t="str">
        <x:v>Risk</x:v>
      </x:c>
    </x:row>
    <x:row r="2">
      <x:c r="A2" s="53" t="n">
        <x:v>0</x:v>
      </x:c>
      <x:c r="B2" s="53" t="str">
        <x:v>Create skeleton</x:v>
      </x:c>
      <x:c r="C2" s="53" t="str">
        <x:v>Create src/trace_net packages and legacy directories; make no moves.</x:v>
      </x:c>
      <x:c r="D2" s="53" t="str">
        <x:v>compile empty packages</x:v>
      </x:c>
      <x:c r="E2" s="53" t="str">
        <x:v>No runtime impact</x:v>
      </x:c>
    </x:row>
    <x:row r="3">
      <x:c r="A3" s="53" t="n">
        <x:v>1</x:v>
      </x:c>
      <x:c r="B3" s="53" t="str">
        <x:v>Straight standalone moves</x:v>
      </x:c>
      <x:c r="C3" s="53" t="str">
        <x:v>Move benchmark and maintenance CLIs with no importers.</x:v>
      </x:c>
      <x:c r="D3" s="53" t="str">
        <x:v>run --help / smoke commands</x:v>
      </x:c>
      <x:c r="E3" s="53" t="str">
        <x:v>Low</x:v>
      </x:c>
    </x:row>
    <x:row r="4">
      <x:c r="A4" s="53" t="n">
        <x:v>2</x:v>
      </x:c>
      <x:c r="B4" s="53" t="str">
        <x:v>Legacy archive</x:v>
      </x:c>
      <x:c r="C4" s="53" t="str">
        <x:v>Use git mv for 11 legacy candidates; do not delete.</x:v>
      </x:c>
      <x:c r="D4" s="53" t="str">
        <x:v>git diff --summary; targeted checks</x:v>
      </x:c>
      <x:c r="E4" s="53" t="str">
        <x:v>Low</x:v>
      </x:c>
    </x:row>
    <x:row r="5">
      <x:c r="A5" s="53" t="n">
        <x:v>3</x:v>
      </x:c>
      <x:c r="B5" s="53" t="str">
        <x:v>Core database</x:v>
      </x:c>
      <x:c r="C5" s="53" t="str">
        <x:v>Move schema.py and storage.py; merge db/init.py into core/__init__.py.</x:v>
      </x:c>
      <x:c r="D5" s="53" t="str">
        <x:v>test_stage4_sqlite.py plus importer tests</x:v>
      </x:c>
      <x:c r="E5" s="53" t="str">
        <x:v>High</x:v>
      </x:c>
    </x:row>
    <x:row r="6">
      <x:c r="A6" s="53" t="n">
        <x:v>4</x:v>
      </x:c>
      <x:c r="B6" s="53" t="str">
        <x:v>Ingestion and chunking</x:v>
      </x:c>
      <x:c r="C6" s="53" t="str">
        <x:v>Move shared PDF pipeline, extractors, chunkers, bridge, and split rag_benchmark.py.</x:v>
      </x:c>
      <x:c r="D6" s="53" t="str">
        <x:v>stage1/2/3 tests and ingest smoke</x:v>
      </x:c>
      <x:c r="E6" s="53" t="str">
        <x:v>High</x:v>
      </x:c>
    </x:row>
    <x:row r="7">
      <x:c r="A7" s="53" t="n">
        <x:v>5</x:v>
      </x:c>
      <x:c r="B7" s="53" t="str">
        <x:v>Embeddings/OCR/retrieval/validation</x:v>
      </x:c>
      <x:c r="C7" s="53" t="str">
        <x:v>Move ColPali, Chroma client, OCR utility, RAG adapter, and citation checker.</x:v>
      </x:c>
      <x:c r="D7" s="53" t="str">
        <x:v>focused unit/integration tests</x:v>
      </x:c>
      <x:c r="E7" s="53" t="str">
        <x:v>High</x:v>
      </x:c>
    </x:row>
    <x:row r="8">
      <x:c r="A8" s="53" t="n">
        <x:v>6</x:v>
      </x:c>
      <x:c r="B8" s="53" t="str">
        <x:v>Compatibility wrappers</x:v>
      </x:c>
      <x:c r="C8" s="53" t="str">
        <x:v>Leave old import paths as thin wrappers until every caller is updated.</x:v>
      </x:c>
      <x:c r="D8" s="53" t="str">
        <x:v>import old and new paths</x:v>
      </x:c>
      <x:c r="E8" s="53" t="str">
        <x:v>High</x:v>
      </x:c>
    </x:row>
    <x:row r="9">
      <x:c r="A9" s="53" t="n">
        <x:v>7</x:v>
      </x:c>
      <x:c r="B9" s="53" t="str">
        <x:v>Full gate</x:v>
      </x:c>
      <x:c r="C9" s="53" t="str">
        <x:v>Run compile, pytest, launcher health, and OpenWebUI path tests before commit.</x:v>
      </x:c>
      <x:c r="D9" s="53" t="str">
        <x:v>PASS required</x:v>
      </x:c>
      <x:c r="E9" s="53" t="str">
        <x:v>Critical</x:v>
      </x:c>
    </x:row>
  </x:sheetData>
  <x:conditionalFormatting sqref="E2:E9">
    <x:cfRule type="expression" dxfId="5" priority="1">
      <x:formula>OR(E2="High",E2="Critical")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4a3da3e29e0401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5" hidden="0" customWidth="1"/>
  </x:cols>
  <x:sheetData>
    <x:row r="1">
      <x:c r="A1" s="79" t="str">
        <x:v>How to use the SRC organization spreadsheet</x:v>
      </x:c>
      <x:c r="B1" s="79"/>
      <x:c r="C1" s="79"/>
      <x:c r="D1" s="79"/>
      <x:c r="E1" s="79"/>
      <x:c r="F1" s="79"/>
    </x:row>
    <x:row r="3">
      <x:c r="A3" s="82" t="str">
        <x:v>Item</x:v>
      </x:c>
      <x:c r="B3" s="82" t="str">
        <x:v>Meaning</x:v>
      </x:c>
    </x:row>
    <x:row r="4">
      <x:c r="A4" s="83" t="str">
        <x:v>Scope</x:v>
      </x:c>
      <x:c r="B4" s="53" t="str">
        <x:v>Only tracked files currently inside src/ on GitHub branch srv.</x:v>
      </x:c>
    </x:row>
    <x:row r="5">
      <x:c r="A5" s="83" t="str">
        <x:v>Total</x:v>
      </x:c>
      <x:c r="B5" s="53" t="str">
        <x:v>40 files. The 29,301 count included the whole repo and generated artifacts; it is not the src count.</x:v>
      </x:c>
    </x:row>
    <x:row r="6">
      <x:c r="A6" s="83" t="str">
        <x:v>Recommended Folder</x:v>
      </x:c>
      <x:c r="B6" s="53" t="str">
        <x:v>The folder the file should ultimately live in.</x:v>
      </x:c>
    </x:row>
    <x:row r="7">
      <x:c r="A7" s="83" t="str">
        <x:v>Final Path</x:v>
      </x:c>
      <x:c r="B7" s="53" t="str">
        <x:v>Recommended folder plus recommended filename.</x:v>
      </x:c>
    </x:row>
    <x:row r="8">
      <x:c r="A8" s="83" t="str">
        <x:v>Legacy</x:v>
      </x:c>
      <x:c r="B8" s="53" t="str">
        <x:v>Archive candidate only. No deletion is authorized.</x:v>
      </x:c>
    </x:row>
    <x:row r="9">
      <x:c r="A9" s="83" t="str">
        <x:v>Compatibility Wrapper</x:v>
      </x:c>
      <x:c r="B9" s="53" t="str">
        <x:v>Keep the old import/entrypoint temporarily while callers are migrated.</x:v>
      </x:c>
    </x:row>
    <x:row r="10">
      <x:c r="A10" s="83" t="str">
        <x:v>SPLIT_THEN_MOVE</x:v>
      </x:c>
      <x:c r="B10" s="53" t="str">
        <x:v>The file mixes responsibilities and should be divided before its old path is retired.</x:v>
      </x:c>
    </x:row>
    <x:row r="11">
      <x:c r="A11" s="83" t="str">
        <x:v>Source links</x:v>
      </x:c>
      <x:c r="B11" s="53" t="str">
        <x:v>Each row contains the exact GitHub srv-branch file URL.</x:v>
      </x:c>
    </x:row>
    <x:row r="12">
      <x:c r="A12" s="83" t="str">
        <x:v>Execution</x:v>
      </x:c>
      <x:c r="B12" s="53" t="str">
        <x:v>Apply in small git mv commits with focused tests after every phase.</x:v>
      </x:c>
    </x:row>
  </x:sheetData>
  <x:mergeCells>
    <x:mergeCell ref="A1:F1"/>
  </x:mergeCells>
  <x:pageMargins left="0.7" right="0.7" top="0.75" bottom="0.75" header="0.3" footer="0.3"/>
</x:worksheet>
</file>